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drawings/drawing7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9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0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1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2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3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4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5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6.xml" ContentType="application/vnd.openxmlformats-officedocument.themeOverride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7.xml" ContentType="application/vnd.openxmlformats-officedocument.themeOverride+xml"/>
  <Override PartName="/xl/drawings/drawing9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8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9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0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1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2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3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4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5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6.xml" ContentType="application/vnd.openxmlformats-officedocument.themeOverride+xml"/>
  <Override PartName="/xl/drawings/drawing10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7.xml" ContentType="application/vnd.openxmlformats-officedocument.themeOverride+xml"/>
  <Override PartName="/xl/drawings/drawing11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8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9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0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1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2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3.xml" ContentType="application/vnd.openxmlformats-officedocument.themeOverride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4.xml" ContentType="application/vnd.openxmlformats-officedocument.themeOverride+xml"/>
  <Override PartName="/xl/drawings/drawing13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5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6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7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8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49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0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ICDE2024/"/>
    </mc:Choice>
  </mc:AlternateContent>
  <xr:revisionPtr revIDLastSave="0" documentId="13_ncr:1_{93F1A2CF-832D-1C43-A8F9-BDBCD9EA91EC}" xr6:coauthVersionLast="47" xr6:coauthVersionMax="47" xr10:uidLastSave="{00000000-0000-0000-0000-000000000000}"/>
  <bookViews>
    <workbookView xWindow="140" yWindow="460" windowWidth="28660" windowHeight="15940" activeTab="8" xr2:uid="{8504DDC8-B1BF-C143-94BE-5E1FB728AB15}"/>
  </bookViews>
  <sheets>
    <sheet name="SampligRatio" sheetId="6" r:id="rId1"/>
    <sheet name="KHopsNeighbor" sheetId="7" r:id="rId2"/>
    <sheet name="多GPU" sheetId="8" r:id="rId3"/>
    <sheet name="Orkut" sheetId="9" r:id="rId4"/>
    <sheet name="Friendster" sheetId="1" r:id="rId5"/>
    <sheet name="SF3K" sheetId="3" r:id="rId6"/>
    <sheet name="SF10k" sheetId="4" r:id="rId7"/>
    <sheet name="Graph500-28" sheetId="5" r:id="rId8"/>
    <sheet name="Twitter-mpi" sheetId="2" r:id="rId9"/>
  </sheets>
  <definedNames>
    <definedName name="_xlchart.v1.0" hidden="1">'Graph500-28'!$AD$24</definedName>
    <definedName name="_xlchart.v1.1" hidden="1">'Graph500-28'!$AD$25</definedName>
    <definedName name="_xlchart.v1.10" hidden="1">'Graph500-28'!$X$18:$AA$18</definedName>
    <definedName name="_xlchart.v1.11" hidden="1">'Graph500-28'!$X$19:$AA$19</definedName>
    <definedName name="_xlchart.v1.12" hidden="1">'Graph500-28'!$X$20:$AA$20</definedName>
    <definedName name="_xlchart.v1.13" hidden="1">'Graph500-28'!$X$21:$AA$21</definedName>
    <definedName name="_xlchart.v1.14" hidden="1">'Twitter-mpi'!$T$25</definedName>
    <definedName name="_xlchart.v1.15" hidden="1">'Twitter-mpi'!$T$26</definedName>
    <definedName name="_xlchart.v1.16" hidden="1">'Twitter-mpi'!$T$27</definedName>
    <definedName name="_xlchart.v1.17" hidden="1">'Twitter-mpi'!$U$24:$X$24</definedName>
    <definedName name="_xlchart.v1.18" hidden="1">'Twitter-mpi'!$U$25:$X$25</definedName>
    <definedName name="_xlchart.v1.19" hidden="1">'Twitter-mpi'!$U$26:$X$26</definedName>
    <definedName name="_xlchart.v1.2" hidden="1">'Graph500-28'!$AD$26</definedName>
    <definedName name="_xlchart.v1.20" hidden="1">'Twitter-mpi'!$U$27:$X$27</definedName>
    <definedName name="_xlchart.v1.21" hidden="1">'Twitter-mpi'!$AA$25</definedName>
    <definedName name="_xlchart.v1.22" hidden="1">'Twitter-mpi'!$AA$26</definedName>
    <definedName name="_xlchart.v1.23" hidden="1">'Twitter-mpi'!$AA$27</definedName>
    <definedName name="_xlchart.v1.24" hidden="1">'Twitter-mpi'!$AB$24:$AE$24</definedName>
    <definedName name="_xlchart.v1.25" hidden="1">'Twitter-mpi'!$AB$25:$AE$25</definedName>
    <definedName name="_xlchart.v1.26" hidden="1">'Twitter-mpi'!$AB$26:$AE$26</definedName>
    <definedName name="_xlchart.v1.27" hidden="1">'Twitter-mpi'!$AB$27:$AE$27</definedName>
    <definedName name="_xlchart.v1.3" hidden="1">'Graph500-28'!$AE$23:$AH$23</definedName>
    <definedName name="_xlchart.v1.4" hidden="1">'Graph500-28'!$AE$24:$AH$24</definedName>
    <definedName name="_xlchart.v1.5" hidden="1">'Graph500-28'!$AE$25:$AH$25</definedName>
    <definedName name="_xlchart.v1.6" hidden="1">'Graph500-28'!$AE$26:$AH$26</definedName>
    <definedName name="_xlchart.v1.7" hidden="1">'Graph500-28'!$W$19</definedName>
    <definedName name="_xlchart.v1.8" hidden="1">'Graph500-28'!$W$20</definedName>
    <definedName name="_xlchart.v1.9" hidden="1">'Graph500-28'!$W$21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" i="2" l="1"/>
  <c r="W26" i="2"/>
  <c r="AD21" i="2"/>
  <c r="W21" i="2"/>
  <c r="AD16" i="2"/>
  <c r="W16" i="2"/>
  <c r="AG26" i="5"/>
  <c r="AG25" i="5"/>
  <c r="Z26" i="5"/>
  <c r="Z25" i="5"/>
  <c r="AG21" i="5"/>
  <c r="AG20" i="5"/>
  <c r="Z21" i="5"/>
  <c r="Z20" i="5"/>
  <c r="AG16" i="5"/>
  <c r="AG15" i="5"/>
  <c r="Z16" i="5"/>
  <c r="Z15" i="5"/>
  <c r="AK30" i="4"/>
  <c r="AK29" i="4"/>
  <c r="AD30" i="4"/>
  <c r="AD29" i="4"/>
  <c r="W30" i="4"/>
  <c r="W29" i="4"/>
  <c r="AK24" i="4"/>
  <c r="AK23" i="4"/>
  <c r="AD24" i="4"/>
  <c r="AD23" i="4"/>
  <c r="W24" i="4"/>
  <c r="W23" i="4"/>
  <c r="AK18" i="4"/>
  <c r="AK17" i="4"/>
  <c r="AD18" i="4"/>
  <c r="AD17" i="4"/>
  <c r="W18" i="4"/>
  <c r="W17" i="4"/>
  <c r="AJ37" i="3"/>
  <c r="AJ36" i="3"/>
  <c r="AD36" i="3"/>
  <c r="AD37" i="3" s="1"/>
  <c r="X36" i="3"/>
  <c r="X37" i="3" s="1"/>
  <c r="AJ29" i="3"/>
  <c r="AJ28" i="3"/>
  <c r="AD29" i="3"/>
  <c r="AD28" i="3"/>
  <c r="X29" i="3"/>
  <c r="X28" i="3"/>
  <c r="AJ22" i="3"/>
  <c r="AJ23" i="3" s="1"/>
  <c r="AD22" i="3"/>
  <c r="AD23" i="3" s="1"/>
  <c r="X23" i="3"/>
  <c r="X22" i="3"/>
  <c r="AN37" i="1"/>
  <c r="AN36" i="1"/>
  <c r="AG37" i="1"/>
  <c r="AG36" i="1"/>
  <c r="Z37" i="1"/>
  <c r="Z36" i="1"/>
  <c r="AN32" i="1"/>
  <c r="AN31" i="1"/>
  <c r="AG32" i="1"/>
  <c r="AG31" i="1"/>
  <c r="Z32" i="1"/>
  <c r="Z31" i="1"/>
  <c r="AN27" i="1"/>
  <c r="AN26" i="1"/>
  <c r="AG27" i="1"/>
  <c r="AG26" i="1"/>
  <c r="Z27" i="1"/>
  <c r="Z26" i="1"/>
  <c r="R20" i="1"/>
  <c r="R21" i="1"/>
  <c r="R22" i="1"/>
  <c r="R23" i="1"/>
  <c r="R24" i="1"/>
  <c r="R19" i="1"/>
  <c r="S12" i="3"/>
  <c r="S13" i="3"/>
  <c r="S14" i="3"/>
  <c r="S15" i="3"/>
  <c r="S16" i="3"/>
  <c r="S11" i="3"/>
  <c r="P11" i="2"/>
  <c r="P12" i="2"/>
  <c r="P13" i="2"/>
  <c r="P14" i="2"/>
  <c r="P15" i="2"/>
  <c r="P16" i="2"/>
  <c r="P17" i="2"/>
  <c r="P10" i="2"/>
  <c r="O11" i="2"/>
  <c r="O19" i="2" s="1"/>
  <c r="O12" i="2"/>
  <c r="O13" i="2"/>
  <c r="O14" i="2"/>
  <c r="O15" i="2"/>
  <c r="O16" i="2"/>
  <c r="O17" i="2"/>
  <c r="O10" i="2"/>
  <c r="O18" i="2" s="1"/>
  <c r="R11" i="5"/>
  <c r="R19" i="5" s="1"/>
  <c r="R12" i="5"/>
  <c r="R20" i="5" s="1"/>
  <c r="R13" i="5"/>
  <c r="R14" i="5"/>
  <c r="R15" i="5"/>
  <c r="R16" i="5"/>
  <c r="R17" i="5"/>
  <c r="R10" i="5"/>
  <c r="R18" i="5" s="1"/>
  <c r="P13" i="4"/>
  <c r="P14" i="4"/>
  <c r="P15" i="4"/>
  <c r="P16" i="4"/>
  <c r="P17" i="4"/>
  <c r="P19" i="4"/>
  <c r="P20" i="4"/>
  <c r="P12" i="4"/>
  <c r="R12" i="3"/>
  <c r="R13" i="3"/>
  <c r="R14" i="3"/>
  <c r="R15" i="3"/>
  <c r="R16" i="3"/>
  <c r="R18" i="3"/>
  <c r="R11" i="3"/>
  <c r="Q20" i="1"/>
  <c r="Q21" i="1"/>
  <c r="Q22" i="1"/>
  <c r="Q23" i="1"/>
  <c r="Q24" i="1"/>
  <c r="Q25" i="1"/>
  <c r="Q19" i="1"/>
  <c r="S8" i="4"/>
  <c r="R8" i="4"/>
  <c r="P18" i="4" s="1"/>
  <c r="Q8" i="4"/>
  <c r="P8" i="4"/>
  <c r="U8" i="3"/>
  <c r="T8" i="3"/>
  <c r="S8" i="3"/>
  <c r="R8" i="3"/>
  <c r="Q8" i="1"/>
  <c r="R8" i="1"/>
  <c r="T8" i="1"/>
  <c r="S8" i="1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16" i="8"/>
  <c r="C16" i="8"/>
  <c r="D16" i="8"/>
  <c r="E16" i="8"/>
  <c r="F16" i="8"/>
  <c r="C11" i="8"/>
  <c r="D11" i="8"/>
  <c r="E11" i="8"/>
  <c r="F11" i="8"/>
  <c r="B11" i="8"/>
  <c r="B8" i="8"/>
  <c r="C8" i="8"/>
  <c r="D8" i="8"/>
  <c r="E8" i="8"/>
  <c r="F8" i="8"/>
  <c r="F7" i="8"/>
  <c r="F6" i="8"/>
  <c r="F5" i="8"/>
  <c r="F4" i="8"/>
  <c r="F3" i="8"/>
  <c r="E7" i="8"/>
  <c r="E6" i="8"/>
  <c r="E5" i="8"/>
  <c r="E4" i="8"/>
  <c r="E3" i="8"/>
  <c r="D7" i="8"/>
  <c r="D6" i="8"/>
  <c r="D5" i="8"/>
  <c r="D4" i="8"/>
  <c r="D3" i="8"/>
  <c r="C7" i="8"/>
  <c r="C6" i="8"/>
  <c r="C5" i="8"/>
  <c r="C4" i="8"/>
  <c r="C3" i="8"/>
  <c r="B4" i="8"/>
  <c r="B5" i="8"/>
  <c r="B6" i="8"/>
  <c r="B7" i="8"/>
  <c r="B3" i="8"/>
  <c r="L20" i="6"/>
  <c r="M20" i="6"/>
  <c r="L21" i="6"/>
  <c r="M21" i="6"/>
  <c r="L22" i="6"/>
  <c r="M22" i="6"/>
  <c r="L23" i="6"/>
  <c r="M23" i="6"/>
  <c r="L24" i="6"/>
  <c r="M24" i="6"/>
  <c r="L25" i="6"/>
  <c r="M25" i="6"/>
  <c r="J20" i="6"/>
  <c r="K20" i="6"/>
  <c r="J21" i="6"/>
  <c r="K21" i="6"/>
  <c r="J22" i="6"/>
  <c r="K22" i="6"/>
  <c r="J23" i="6"/>
  <c r="K23" i="6"/>
  <c r="J24" i="6"/>
  <c r="K24" i="6"/>
  <c r="J25" i="6"/>
  <c r="K25" i="6"/>
  <c r="I21" i="6"/>
  <c r="I22" i="6"/>
  <c r="I23" i="6"/>
  <c r="I24" i="6"/>
  <c r="I25" i="6"/>
  <c r="I20" i="6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3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2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R17" i="3" l="1"/>
  <c r="S17" i="3"/>
</calcChain>
</file>

<file path=xl/sharedStrings.xml><?xml version="1.0" encoding="utf-8"?>
<sst xmlns="http://schemas.openxmlformats.org/spreadsheetml/2006/main" count="782" uniqueCount="77">
  <si>
    <t>P1</t>
  </si>
  <si>
    <t>P2</t>
  </si>
  <si>
    <t>P3</t>
  </si>
  <si>
    <t>P4</t>
  </si>
  <si>
    <t>P5</t>
  </si>
  <si>
    <t>P6</t>
  </si>
  <si>
    <t>CPU</t>
  </si>
  <si>
    <t>Unified Memory</t>
  </si>
  <si>
    <t>Zero Copy</t>
  </si>
  <si>
    <t>32 Ours</t>
  </si>
  <si>
    <t>64 Ours</t>
  </si>
  <si>
    <t>com-friendster</t>
  </si>
  <si>
    <t xml:space="preserve">    com-friendster</t>
  </si>
  <si>
    <t xml:space="preserve">    twitter\_mpi</t>
  </si>
  <si>
    <t xml:space="preserve">    datagen-sf3k-fb</t>
  </si>
  <si>
    <t xml:space="preserve">    graph500-28</t>
  </si>
  <si>
    <t xml:space="preserve">    datagen-sf10k-fb</t>
  </si>
  <si>
    <t>1Hops</t>
  </si>
  <si>
    <t>2Hops</t>
  </si>
  <si>
    <t>3Hops</t>
  </si>
  <si>
    <t>4Hops</t>
  </si>
  <si>
    <t>5Hops</t>
  </si>
  <si>
    <t>6Hops</t>
  </si>
  <si>
    <t>5_12.txt</t>
  </si>
  <si>
    <t>5_14.txt</t>
  </si>
  <si>
    <t>5_15.txt</t>
  </si>
  <si>
    <t>5_16.txt</t>
  </si>
  <si>
    <t>5_17.txt</t>
  </si>
  <si>
    <t>5_18.txt</t>
  </si>
  <si>
    <t>5_19.txt</t>
  </si>
  <si>
    <t>5_20.txt</t>
  </si>
  <si>
    <t>6_28.txt</t>
  </si>
  <si>
    <t>6_47.txt</t>
  </si>
  <si>
    <t>6_50.txt</t>
  </si>
  <si>
    <t>6_53.txt</t>
  </si>
  <si>
    <t>6_62.txt</t>
  </si>
  <si>
    <t>6_107.txt</t>
  </si>
  <si>
    <t>6_110.txt</t>
  </si>
  <si>
    <t>6_111.txt</t>
  </si>
  <si>
    <t>7_830.txt</t>
  </si>
  <si>
    <t>7_845.txt</t>
  </si>
  <si>
    <t>7_846.txt</t>
  </si>
  <si>
    <t>7_847.txt</t>
  </si>
  <si>
    <t>7_848.txt</t>
  </si>
  <si>
    <t>7_850.txt</t>
  </si>
  <si>
    <t>7_851.txt</t>
  </si>
  <si>
    <t>7_852.txt</t>
  </si>
  <si>
    <t>UM</t>
  </si>
  <si>
    <t>ZeroCopy</t>
  </si>
  <si>
    <t>1/64</t>
  </si>
  <si>
    <t>1/32</t>
  </si>
  <si>
    <t>p7</t>
  </si>
  <si>
    <t>p4</t>
  </si>
  <si>
    <t>p6</t>
  </si>
  <si>
    <t>p8</t>
  </si>
  <si>
    <t>p9</t>
  </si>
  <si>
    <t>Global Mem</t>
  </si>
  <si>
    <t>p2</t>
  </si>
  <si>
    <t xml:space="preserve">    twitter_mpi</t>
  </si>
  <si>
    <t>graph500-28</t>
  </si>
  <si>
    <t>twitter_mpi</t>
  </si>
  <si>
    <t>One-Hops</t>
  </si>
  <si>
    <t>Two-Hops</t>
  </si>
  <si>
    <t>sf3k-fb</t>
  </si>
  <si>
    <t>sf10k-fb</t>
  </si>
  <si>
    <t>5_12</t>
  </si>
  <si>
    <t>5_15</t>
  </si>
  <si>
    <t>6_50</t>
  </si>
  <si>
    <t>6_62</t>
  </si>
  <si>
    <t>7_846</t>
  </si>
  <si>
    <t>7_851</t>
  </si>
  <si>
    <t>5_14</t>
  </si>
  <si>
    <t>6_47</t>
  </si>
  <si>
    <t>7_852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</si>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</sst>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rgb="FF2FFF12"/>
      <name val="Andale Mono"/>
      <family val="2"/>
    </font>
    <font>
      <sz val="8"/>
      <name val="Calibri"/>
      <family val="2"/>
      <scheme val="minor"/>
    </font>
    <font>
      <sz val="10"/>
      <color rgb="FF569CD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Relationship Id="rId4" Type="http://schemas.openxmlformats.org/officeDocument/2006/relationships/chartUserShapes" Target="../drawings/drawing7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8.xml"/><Relationship Id="rId1" Type="http://schemas.microsoft.com/office/2011/relationships/chartStyle" Target="style28.xml"/><Relationship Id="rId4" Type="http://schemas.openxmlformats.org/officeDocument/2006/relationships/chartUserShapes" Target="../drawings/drawing9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8.xml"/><Relationship Id="rId1" Type="http://schemas.microsoft.com/office/2011/relationships/chartStyle" Target="style38.xml"/><Relationship Id="rId4" Type="http://schemas.openxmlformats.org/officeDocument/2006/relationships/chartUserShapes" Target="../drawings/drawing11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5.xml"/><Relationship Id="rId1" Type="http://schemas.microsoft.com/office/2011/relationships/chartStyle" Target="style45.xml"/><Relationship Id="rId4" Type="http://schemas.openxmlformats.org/officeDocument/2006/relationships/chartUserShapes" Target="../drawings/drawing13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0.21855774278215226"/>
          <c:w val="0.83656696558763488"/>
          <c:h val="0.60223840769903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SampligRatio!$A$20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SampligRatio!$B$20:$F$20</c:f>
              <c:numCache>
                <c:formatCode>General</c:formatCode>
                <c:ptCount val="5"/>
                <c:pt idx="0">
                  <c:v>2.8579999999999999E-3</c:v>
                </c:pt>
                <c:pt idx="1">
                  <c:v>1.7950000000000001E-2</c:v>
                </c:pt>
                <c:pt idx="2">
                  <c:v>7.6540000000000002E-3</c:v>
                </c:pt>
                <c:pt idx="3">
                  <c:v>2.7949999999999999E-2</c:v>
                </c:pt>
                <c:pt idx="4">
                  <c:v>3.6640000000000002E-3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SampligRatio!$A$21</c:f>
              <c:strCache>
                <c:ptCount val="1"/>
                <c:pt idx="0">
                  <c:v>P2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SampligRatio!$B$21:$F$21</c:f>
              <c:numCache>
                <c:formatCode>General</c:formatCode>
                <c:ptCount val="5"/>
                <c:pt idx="0">
                  <c:v>7.8609999999999999E-3</c:v>
                </c:pt>
                <c:pt idx="1">
                  <c:v>4.5305999999999999E-2</c:v>
                </c:pt>
                <c:pt idx="2">
                  <c:v>2.1496000000000001E-2</c:v>
                </c:pt>
                <c:pt idx="3">
                  <c:v>3.5305999999999997E-2</c:v>
                </c:pt>
                <c:pt idx="4">
                  <c:v>1.3351E-2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SampligRatio!$A$22</c:f>
              <c:strCache>
                <c:ptCount val="1"/>
                <c:pt idx="0">
                  <c:v>P3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SampligRatio!$B$22:$F$22</c:f>
              <c:numCache>
                <c:formatCode>General</c:formatCode>
                <c:ptCount val="5"/>
                <c:pt idx="0">
                  <c:v>6.5789999999999998E-3</c:v>
                </c:pt>
                <c:pt idx="1">
                  <c:v>1.3390000000000001E-2</c:v>
                </c:pt>
                <c:pt idx="2">
                  <c:v>9.5689999999999994E-3</c:v>
                </c:pt>
                <c:pt idx="3">
                  <c:v>2.3390000000000001E-2</c:v>
                </c:pt>
                <c:pt idx="4">
                  <c:v>1.1487000000000001E-2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SampligRatio!$A$23</c:f>
              <c:strCache>
                <c:ptCount val="1"/>
                <c:pt idx="0">
                  <c:v>P4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SampligRatio!$B$23:$F$23</c:f>
              <c:numCache>
                <c:formatCode>General</c:formatCode>
                <c:ptCount val="5"/>
                <c:pt idx="0">
                  <c:v>5.5199999999999997E-4</c:v>
                </c:pt>
                <c:pt idx="1">
                  <c:v>2.7759999999999998E-3</c:v>
                </c:pt>
                <c:pt idx="2">
                  <c:v>9.4710000000000003E-3</c:v>
                </c:pt>
                <c:pt idx="3">
                  <c:v>1.776E-3</c:v>
                </c:pt>
                <c:pt idx="4">
                  <c:v>1.0369999999999999E-3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SampligRatio!$A$24</c:f>
              <c:strCache>
                <c:ptCount val="1"/>
                <c:pt idx="0">
                  <c:v>P5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SampligRatio!$B$24:$F$24</c:f>
              <c:numCache>
                <c:formatCode>General</c:formatCode>
                <c:ptCount val="5"/>
                <c:pt idx="0">
                  <c:v>2.41E-4</c:v>
                </c:pt>
                <c:pt idx="1">
                  <c:v>3.4600000000000001E-4</c:v>
                </c:pt>
                <c:pt idx="2">
                  <c:v>7.6599999999999997E-4</c:v>
                </c:pt>
                <c:pt idx="3">
                  <c:v>1.46E-4</c:v>
                </c:pt>
                <c:pt idx="4">
                  <c:v>4.8799999999999999E-4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ser>
          <c:idx val="5"/>
          <c:order val="5"/>
          <c:tx>
            <c:strRef>
              <c:f>SampligRatio!$A$25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SampligRatio!$B$25:$F$25</c:f>
              <c:numCache>
                <c:formatCode>General</c:formatCode>
                <c:ptCount val="5"/>
                <c:pt idx="0">
                  <c:v>8.1000000000000004E-5</c:v>
                </c:pt>
                <c:pt idx="1">
                  <c:v>3.2499999999999999E-4</c:v>
                </c:pt>
                <c:pt idx="2">
                  <c:v>1.34E-4</c:v>
                </c:pt>
                <c:pt idx="3">
                  <c:v>1.25E-4</c:v>
                </c:pt>
                <c:pt idx="4">
                  <c:v>2.34E-4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F8-554D-B604-D48DA9BD6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layout>
            <c:manualLayout>
              <c:xMode val="edge"/>
              <c:yMode val="edge"/>
              <c:x val="0"/>
              <c:y val="0.39619604841061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SampligRatio!$B$1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SampligRatio!$B$2:$B$7</c:f>
              <c:numCache>
                <c:formatCode>General</c:formatCode>
                <c:ptCount val="6"/>
                <c:pt idx="0">
                  <c:v>0.95195099999999999</c:v>
                </c:pt>
                <c:pt idx="1">
                  <c:v>0.90280800000000005</c:v>
                </c:pt>
                <c:pt idx="2">
                  <c:v>0.89422199999999996</c:v>
                </c:pt>
                <c:pt idx="3">
                  <c:v>0.99856100000000003</c:v>
                </c:pt>
                <c:pt idx="4">
                  <c:v>0.91041399999999995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SampligRatio!$C$1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SampligRatio!$C$2:$C$7</c:f>
              <c:numCache>
                <c:formatCode>General</c:formatCode>
                <c:ptCount val="6"/>
                <c:pt idx="0">
                  <c:v>0.97958400000000001</c:v>
                </c:pt>
                <c:pt idx="1">
                  <c:v>0.92138200000000003</c:v>
                </c:pt>
                <c:pt idx="2">
                  <c:v>0.85493300000000005</c:v>
                </c:pt>
                <c:pt idx="3">
                  <c:v>0.76303100000000001</c:v>
                </c:pt>
                <c:pt idx="4">
                  <c:v>0.95035000000000003</c:v>
                </c:pt>
                <c:pt idx="5">
                  <c:v>0.95035000000000003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SampligRatio!$D$1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SampligRatio!$D$2:$D$7</c:f>
              <c:numCache>
                <c:formatCode>General</c:formatCode>
                <c:ptCount val="6"/>
                <c:pt idx="0">
                  <c:v>0.90680400000000005</c:v>
                </c:pt>
                <c:pt idx="1">
                  <c:v>0.96277100000000004</c:v>
                </c:pt>
                <c:pt idx="2">
                  <c:v>0.64088299999999998</c:v>
                </c:pt>
                <c:pt idx="3">
                  <c:v>0.97504299999999999</c:v>
                </c:pt>
                <c:pt idx="4">
                  <c:v>0.96894800000000003</c:v>
                </c:pt>
                <c:pt idx="5">
                  <c:v>0.89034999999999997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SampligRatio!$E$1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SampligRatio!$E$2:$E$7</c:f>
              <c:numCache>
                <c:formatCode>General</c:formatCode>
                <c:ptCount val="6"/>
                <c:pt idx="0">
                  <c:v>0.88459600000000005</c:v>
                </c:pt>
                <c:pt idx="1">
                  <c:v>0.91156700000000002</c:v>
                </c:pt>
                <c:pt idx="2">
                  <c:v>0.87326000000000004</c:v>
                </c:pt>
                <c:pt idx="3">
                  <c:v>1</c:v>
                </c:pt>
                <c:pt idx="4">
                  <c:v>0.82418000000000002</c:v>
                </c:pt>
                <c:pt idx="5">
                  <c:v>0.85313899999999998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SampligRatio!$F$1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SampligRatio!$F$2:$F$7</c:f>
              <c:numCache>
                <c:formatCode>General</c:formatCode>
                <c:ptCount val="6"/>
                <c:pt idx="0">
                  <c:v>0.91709797000000004</c:v>
                </c:pt>
                <c:pt idx="1">
                  <c:v>0.95277100000000003</c:v>
                </c:pt>
                <c:pt idx="2">
                  <c:v>0.69088300000000002</c:v>
                </c:pt>
                <c:pt idx="3">
                  <c:v>0.985043</c:v>
                </c:pt>
                <c:pt idx="4">
                  <c:v>0.928948</c:v>
                </c:pt>
                <c:pt idx="5">
                  <c:v>0.91034999999999999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SampligRatio!$B$10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SampligRatio!$B$11:$B$16</c:f>
              <c:numCache>
                <c:formatCode>General</c:formatCode>
                <c:ptCount val="6"/>
                <c:pt idx="0">
                  <c:v>0.78764100000000004</c:v>
                </c:pt>
                <c:pt idx="1">
                  <c:v>0.664655</c:v>
                </c:pt>
                <c:pt idx="2">
                  <c:v>0.98155899999999996</c:v>
                </c:pt>
                <c:pt idx="3">
                  <c:v>0.638015</c:v>
                </c:pt>
                <c:pt idx="4">
                  <c:v>0.720974</c:v>
                </c:pt>
                <c:pt idx="5">
                  <c:v>0.96551399999999998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SampligRatio!$C$10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SampligRatio!$C$11:$C$16</c:f>
              <c:numCache>
                <c:formatCode>General</c:formatCode>
                <c:ptCount val="6"/>
                <c:pt idx="0">
                  <c:v>0.87958400000000003</c:v>
                </c:pt>
                <c:pt idx="1">
                  <c:v>0.86138199999999998</c:v>
                </c:pt>
                <c:pt idx="2">
                  <c:v>0.75493299999999997</c:v>
                </c:pt>
                <c:pt idx="3">
                  <c:v>0.743031</c:v>
                </c:pt>
                <c:pt idx="4">
                  <c:v>0.95035000000000003</c:v>
                </c:pt>
                <c:pt idx="5">
                  <c:v>0.95035000000000003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SampligRatio!$D$10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SampligRatio!$D$11:$D$16</c:f>
              <c:numCache>
                <c:formatCode>General</c:formatCode>
                <c:ptCount val="6"/>
                <c:pt idx="0">
                  <c:v>0.89680400000000005</c:v>
                </c:pt>
                <c:pt idx="1">
                  <c:v>0.96277100000000004</c:v>
                </c:pt>
                <c:pt idx="2">
                  <c:v>0.64088299999999998</c:v>
                </c:pt>
                <c:pt idx="3">
                  <c:v>0.93504299999999996</c:v>
                </c:pt>
                <c:pt idx="4">
                  <c:v>0.91894799999999999</c:v>
                </c:pt>
                <c:pt idx="5">
                  <c:v>0.87034999999999996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SampligRatio!$E$10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SampligRatio!$E$11:$E$16</c:f>
              <c:numCache>
                <c:formatCode>General</c:formatCode>
                <c:ptCount val="6"/>
                <c:pt idx="0">
                  <c:v>0.85036619999999996</c:v>
                </c:pt>
                <c:pt idx="1">
                  <c:v>0.87598865000000004</c:v>
                </c:pt>
                <c:pt idx="2">
                  <c:v>0.82959700000000003</c:v>
                </c:pt>
                <c:pt idx="3">
                  <c:v>0.95</c:v>
                </c:pt>
                <c:pt idx="4">
                  <c:v>0.82418000000000002</c:v>
                </c:pt>
                <c:pt idx="5">
                  <c:v>0.85313899999999998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SampligRatio!$F$10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SampligRatio!$F$11:$F$16</c:f>
              <c:numCache>
                <c:formatCode>General</c:formatCode>
                <c:ptCount val="6"/>
                <c:pt idx="0">
                  <c:v>0.90792699030000001</c:v>
                </c:pt>
                <c:pt idx="1">
                  <c:v>0.93324328999999995</c:v>
                </c:pt>
                <c:pt idx="2">
                  <c:v>0.67397417000000004</c:v>
                </c:pt>
                <c:pt idx="3">
                  <c:v>0.96519257000000003</c:v>
                </c:pt>
                <c:pt idx="4">
                  <c:v>0.91965852000000003</c:v>
                </c:pt>
                <c:pt idx="5">
                  <c:v>0.90124649999999995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SampligRatio!$A$38</c:f>
              <c:strCache>
                <c:ptCount val="1"/>
                <c:pt idx="0">
                  <c:v>One-Hops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SampligRatio!$B$37:$F$37</c:f>
              <c:strCache>
                <c:ptCount val="5"/>
                <c:pt idx="0">
                  <c:v>com-friendster</c:v>
                </c:pt>
                <c:pt idx="1">
                  <c:v>twitter_mpi</c:v>
                </c:pt>
                <c:pt idx="2">
                  <c:v>sf3k-fb</c:v>
                </c:pt>
                <c:pt idx="3">
                  <c:v>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SampligRatio!$B$38:$F$38</c:f>
              <c:numCache>
                <c:formatCode>General</c:formatCode>
                <c:ptCount val="5"/>
                <c:pt idx="0">
                  <c:v>0.17152300000000001</c:v>
                </c:pt>
                <c:pt idx="1">
                  <c:v>0.9</c:v>
                </c:pt>
                <c:pt idx="2">
                  <c:v>0.12932099999999999</c:v>
                </c:pt>
                <c:pt idx="3">
                  <c:v>0.87876100000000001</c:v>
                </c:pt>
                <c:pt idx="4">
                  <c:v>4.7824999999999999E-2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SampligRatio!$A$39</c:f>
              <c:strCache>
                <c:ptCount val="1"/>
                <c:pt idx="0">
                  <c:v>Two-Hops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SampligRatio!$B$37:$F$37</c:f>
              <c:strCache>
                <c:ptCount val="5"/>
                <c:pt idx="0">
                  <c:v>com-friendster</c:v>
                </c:pt>
                <c:pt idx="1">
                  <c:v>twitter_mpi</c:v>
                </c:pt>
                <c:pt idx="2">
                  <c:v>sf3k-fb</c:v>
                </c:pt>
                <c:pt idx="3">
                  <c:v>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SampligRatio!$B$39:$F$39</c:f>
              <c:numCache>
                <c:formatCode>General</c:formatCode>
                <c:ptCount val="5"/>
                <c:pt idx="0">
                  <c:v>0.92412399999999995</c:v>
                </c:pt>
                <c:pt idx="1">
                  <c:v>0.99999990000000005</c:v>
                </c:pt>
                <c:pt idx="2">
                  <c:v>0.99628300000000003</c:v>
                </c:pt>
                <c:pt idx="3">
                  <c:v>0.99999990000000005</c:v>
                </c:pt>
                <c:pt idx="4">
                  <c:v>0.96034600000000003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60740029892096825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多GPU!$B$2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多GPU!$B$3:$B$8</c:f>
              <c:numCache>
                <c:formatCode>General</c:formatCode>
                <c:ptCount val="6"/>
                <c:pt idx="0">
                  <c:v>1.99</c:v>
                </c:pt>
                <c:pt idx="1">
                  <c:v>1.98</c:v>
                </c:pt>
                <c:pt idx="2">
                  <c:v>1.71</c:v>
                </c:pt>
                <c:pt idx="3">
                  <c:v>1.91</c:v>
                </c:pt>
                <c:pt idx="4">
                  <c:v>1.84</c:v>
                </c:pt>
                <c:pt idx="5">
                  <c:v>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多GPU!$C$2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多GPU!$C$3:$C$8</c:f>
              <c:numCache>
                <c:formatCode>General</c:formatCode>
                <c:ptCount val="6"/>
                <c:pt idx="0">
                  <c:v>1.93</c:v>
                </c:pt>
                <c:pt idx="1">
                  <c:v>1.74</c:v>
                </c:pt>
                <c:pt idx="2">
                  <c:v>1.8</c:v>
                </c:pt>
                <c:pt idx="3">
                  <c:v>1.78</c:v>
                </c:pt>
                <c:pt idx="4">
                  <c:v>1.81</c:v>
                </c:pt>
                <c:pt idx="5">
                  <c:v>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多GPU!$D$2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多GPU!$D$3:$D$8</c:f>
              <c:numCache>
                <c:formatCode>General</c:formatCode>
                <c:ptCount val="6"/>
                <c:pt idx="0">
                  <c:v>1.78</c:v>
                </c:pt>
                <c:pt idx="1">
                  <c:v>1.76</c:v>
                </c:pt>
                <c:pt idx="2">
                  <c:v>1.75</c:v>
                </c:pt>
                <c:pt idx="3">
                  <c:v>1.85</c:v>
                </c:pt>
                <c:pt idx="4">
                  <c:v>1.81</c:v>
                </c:pt>
                <c:pt idx="5">
                  <c:v>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多GPU!$E$2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多GPU!$E$3:$E$8</c:f>
              <c:numCache>
                <c:formatCode>General</c:formatCode>
                <c:ptCount val="6"/>
                <c:pt idx="0">
                  <c:v>1.77</c:v>
                </c:pt>
                <c:pt idx="1">
                  <c:v>1.81</c:v>
                </c:pt>
                <c:pt idx="2">
                  <c:v>1.98</c:v>
                </c:pt>
                <c:pt idx="3">
                  <c:v>1.85</c:v>
                </c:pt>
                <c:pt idx="4">
                  <c:v>1.82</c:v>
                </c:pt>
                <c:pt idx="5">
                  <c:v>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多GPU!$F$2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多GPU!$F$3:$F$8</c:f>
              <c:numCache>
                <c:formatCode>General</c:formatCode>
                <c:ptCount val="6"/>
                <c:pt idx="0">
                  <c:v>1.94</c:v>
                </c:pt>
                <c:pt idx="1">
                  <c:v>1.99</c:v>
                </c:pt>
                <c:pt idx="2">
                  <c:v>1.84</c:v>
                </c:pt>
                <c:pt idx="3">
                  <c:v>1.87</c:v>
                </c:pt>
                <c:pt idx="4">
                  <c:v>1.7</c:v>
                </c:pt>
                <c:pt idx="5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Speedups</a:t>
                </a:r>
              </a:p>
            </c:rich>
          </c:tx>
          <c:layout>
            <c:manualLayout>
              <c:xMode val="edge"/>
              <c:yMode val="edge"/>
              <c:x val="0"/>
              <c:y val="0.39619604841061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60740029892096825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多GPU!$B$10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多GPU!$B$11:$B$16</c:f>
              <c:numCache>
                <c:formatCode>General</c:formatCode>
                <c:ptCount val="6"/>
                <c:pt idx="0">
                  <c:v>3.8</c:v>
                </c:pt>
                <c:pt idx="1">
                  <c:v>3.51</c:v>
                </c:pt>
                <c:pt idx="2">
                  <c:v>3.7</c:v>
                </c:pt>
                <c:pt idx="3">
                  <c:v>3.59</c:v>
                </c:pt>
                <c:pt idx="4">
                  <c:v>3.55</c:v>
                </c:pt>
                <c:pt idx="5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多GPU!$C$10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多GPU!$C$11:$C$16</c:f>
              <c:numCache>
                <c:formatCode>General</c:formatCode>
                <c:ptCount val="6"/>
                <c:pt idx="0">
                  <c:v>3.66</c:v>
                </c:pt>
                <c:pt idx="1">
                  <c:v>3.59</c:v>
                </c:pt>
                <c:pt idx="2">
                  <c:v>3.57</c:v>
                </c:pt>
                <c:pt idx="3">
                  <c:v>3.74</c:v>
                </c:pt>
                <c:pt idx="4">
                  <c:v>3.66</c:v>
                </c:pt>
                <c:pt idx="5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多GPU!$D$10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多GPU!$D$11:$D$16</c:f>
              <c:numCache>
                <c:formatCode>General</c:formatCode>
                <c:ptCount val="6"/>
                <c:pt idx="0">
                  <c:v>3.74</c:v>
                </c:pt>
                <c:pt idx="1">
                  <c:v>3.67</c:v>
                </c:pt>
                <c:pt idx="2">
                  <c:v>3.81</c:v>
                </c:pt>
                <c:pt idx="3">
                  <c:v>3.56</c:v>
                </c:pt>
                <c:pt idx="4">
                  <c:v>3.78</c:v>
                </c:pt>
                <c:pt idx="5">
                  <c:v>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多GPU!$E$10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多GPU!$E$11:$E$16</c:f>
              <c:numCache>
                <c:formatCode>General</c:formatCode>
                <c:ptCount val="6"/>
                <c:pt idx="0">
                  <c:v>3.57</c:v>
                </c:pt>
                <c:pt idx="1">
                  <c:v>3.64</c:v>
                </c:pt>
                <c:pt idx="2">
                  <c:v>3.6</c:v>
                </c:pt>
                <c:pt idx="3">
                  <c:v>3.88</c:v>
                </c:pt>
                <c:pt idx="4">
                  <c:v>3.89</c:v>
                </c:pt>
                <c:pt idx="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多GPU!$F$10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多GPU!$F$11:$F$16</c:f>
              <c:numCache>
                <c:formatCode>General</c:formatCode>
                <c:ptCount val="6"/>
                <c:pt idx="0">
                  <c:v>3.65</c:v>
                </c:pt>
                <c:pt idx="1">
                  <c:v>3.51</c:v>
                </c:pt>
                <c:pt idx="2">
                  <c:v>3.73</c:v>
                </c:pt>
                <c:pt idx="3">
                  <c:v>3.81</c:v>
                </c:pt>
                <c:pt idx="4">
                  <c:v>3.87</c:v>
                </c:pt>
                <c:pt idx="5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</a:rPr>
                  <a:t>Speedups</a:t>
                </a:r>
                <a:r>
                  <a:rPr lang="en-US" sz="1200" b="0" i="0" u="none" strike="noStrike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39619604841061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Orkut!$H$1</c:f>
              <c:strCache>
                <c:ptCount val="1"/>
                <c:pt idx="0">
                  <c:v>Global Mem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Orkut!$G$2:$G$7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Orkut!$H$2:$H$7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Orkut!$I$1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Orkut!$G$2:$G$7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Orkut!$I$2:$I$7</c:f>
              <c:numCache>
                <c:formatCode>General</c:formatCode>
                <c:ptCount val="6"/>
                <c:pt idx="0">
                  <c:v>0.96</c:v>
                </c:pt>
                <c:pt idx="1">
                  <c:v>0.93</c:v>
                </c:pt>
                <c:pt idx="2">
                  <c:v>0.87</c:v>
                </c:pt>
                <c:pt idx="3">
                  <c:v>0.92</c:v>
                </c:pt>
                <c:pt idx="4">
                  <c:v>0.91</c:v>
                </c:pt>
                <c:pt idx="5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Orkut!$J$1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Orkut!$G$2:$G$7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Orkut!$J$2:$J$7</c:f>
              <c:numCache>
                <c:formatCode>General</c:formatCode>
                <c:ptCount val="6"/>
                <c:pt idx="0">
                  <c:v>0.95</c:v>
                </c:pt>
                <c:pt idx="1">
                  <c:v>0.88</c:v>
                </c:pt>
                <c:pt idx="2">
                  <c:v>0.88</c:v>
                </c:pt>
                <c:pt idx="3">
                  <c:v>0.85</c:v>
                </c:pt>
                <c:pt idx="4">
                  <c:v>0.92</c:v>
                </c:pt>
                <c:pt idx="5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49117545202683005"/>
          <c:y val="0.13691469816272966"/>
          <c:w val="0.40697269612131814"/>
          <c:h val="0.2852843394575678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Friendster!$P$1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Friendster!$P$2:$P$7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Friendster!$Q$1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Friendster!$Q$2:$Q$7</c:f>
              <c:numCache>
                <c:formatCode>0.0</c:formatCode>
                <c:ptCount val="6"/>
                <c:pt idx="0">
                  <c:v>3.7914083026735081E-2</c:v>
                </c:pt>
                <c:pt idx="1">
                  <c:v>0.70139749394726325</c:v>
                </c:pt>
                <c:pt idx="2">
                  <c:v>1.8131038917517879</c:v>
                </c:pt>
                <c:pt idx="3">
                  <c:v>17.737190860794598</c:v>
                </c:pt>
                <c:pt idx="4">
                  <c:v>1.3434341314870699</c:v>
                </c:pt>
                <c:pt idx="5">
                  <c:v>0.93831079396539008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Friendster!$R$1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Friendster!$R$2:$R$7</c:f>
              <c:numCache>
                <c:formatCode>0.0</c:formatCode>
                <c:ptCount val="6"/>
                <c:pt idx="0">
                  <c:v>2.9403952327223233</c:v>
                </c:pt>
                <c:pt idx="1">
                  <c:v>8.0057073925174187</c:v>
                </c:pt>
                <c:pt idx="2">
                  <c:v>14.97725075670304</c:v>
                </c:pt>
                <c:pt idx="3">
                  <c:v>35.324984385413238</c:v>
                </c:pt>
                <c:pt idx="4">
                  <c:v>3.2494481997927833</c:v>
                </c:pt>
                <c:pt idx="5">
                  <c:v>3.5615592797411781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Friendster!$S$1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Friendster!$S$2:$S$7</c:f>
              <c:numCache>
                <c:formatCode>0.0</c:formatCode>
                <c:ptCount val="6"/>
                <c:pt idx="0">
                  <c:v>4.6593087288571242</c:v>
                </c:pt>
                <c:pt idx="1">
                  <c:v>11.881057501945463</c:v>
                </c:pt>
                <c:pt idx="2">
                  <c:v>19.331208838892739</c:v>
                </c:pt>
                <c:pt idx="3">
                  <c:v>47.50634135226786</c:v>
                </c:pt>
                <c:pt idx="4">
                  <c:v>5.5845526438198867</c:v>
                </c:pt>
                <c:pt idx="5">
                  <c:v>4.7982350432496403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Friendster!$T$1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Friendster!$T$2:$T$7</c:f>
              <c:numCache>
                <c:formatCode>0.0</c:formatCode>
                <c:ptCount val="6"/>
                <c:pt idx="0">
                  <c:v>3.6593087288571202</c:v>
                </c:pt>
                <c:pt idx="1">
                  <c:v>10.8810575019455</c:v>
                </c:pt>
                <c:pt idx="2">
                  <c:v>20.331208838892699</c:v>
                </c:pt>
                <c:pt idx="3">
                  <c:v>47.906341352267901</c:v>
                </c:pt>
                <c:pt idx="4">
                  <c:v>5.8988137875186801</c:v>
                </c:pt>
                <c:pt idx="5">
                  <c:v>4.7588279438598997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Speedups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75969397054534848"/>
          <c:y val="9.8025809273840775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Friendster!$AD$25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Friendster!$AE$24:$AH$24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Friendster!$AE$25:$AH$25</c:f>
              <c:numCache>
                <c:formatCode>0.0</c:formatCode>
                <c:ptCount val="4"/>
                <c:pt idx="0">
                  <c:v>1.3343611524594628E-2</c:v>
                </c:pt>
                <c:pt idx="1">
                  <c:v>0.85874997609533232</c:v>
                </c:pt>
                <c:pt idx="2">
                  <c:v>2.1009418664913264</c:v>
                </c:pt>
                <c:pt idx="3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Friendster!$AD$26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Friendster!$AE$24:$AH$24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Friendster!$AE$26:$AH$26</c:f>
              <c:numCache>
                <c:formatCode>General</c:formatCode>
                <c:ptCount val="4"/>
                <c:pt idx="2">
                  <c:v>6.3028255994739796E-2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Friendster!$AD$27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Friendster!$AE$24:$AH$24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Friendster!$AE$27:$AH$27</c:f>
              <c:numCache>
                <c:formatCode>General</c:formatCode>
                <c:ptCount val="4"/>
                <c:pt idx="2">
                  <c:v>6.3028255994739796E-2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3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Friendster!$W$25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Friendster!$X$24:$AA$24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Friendster!$X$25:$AA$25</c:f>
              <c:numCache>
                <c:formatCode>0.0</c:formatCode>
                <c:ptCount val="4"/>
                <c:pt idx="0">
                  <c:v>3.7914083026735081E-2</c:v>
                </c:pt>
                <c:pt idx="1">
                  <c:v>2.9403952327223233</c:v>
                </c:pt>
                <c:pt idx="2">
                  <c:v>4.6593087288571242</c:v>
                </c:pt>
                <c:pt idx="3">
                  <c:v>4.7393087288571198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Friendster!$W$26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Friendster!$X$24:$AA$24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Friendster!$X$26:$AA$26</c:f>
              <c:numCache>
                <c:formatCode>General</c:formatCode>
                <c:ptCount val="4"/>
                <c:pt idx="2">
                  <c:v>0.13977926186571371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Friendster!$W$27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Friendster!$X$24:$AA$24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Friendster!$X$27:$AA$27</c:f>
              <c:numCache>
                <c:formatCode>General</c:formatCode>
                <c:ptCount val="4"/>
                <c:pt idx="2">
                  <c:v>0.13977926186571371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Friendster!$AK$25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Friendster!$AL$24:$AO$24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Friendster!$AL$25:$AO$25</c:f>
              <c:numCache>
                <c:formatCode>0.0</c:formatCode>
                <c:ptCount val="4"/>
                <c:pt idx="0">
                  <c:v>0.70139749394726325</c:v>
                </c:pt>
                <c:pt idx="1">
                  <c:v>8.0057073925174187</c:v>
                </c:pt>
                <c:pt idx="2">
                  <c:v>8.8810575019455005</c:v>
                </c:pt>
                <c:pt idx="3">
                  <c:v>11.8810575019455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Friendster!$AK$26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Friendster!$AL$24:$AO$24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Friendster!$AL$26:$AO$26</c:f>
              <c:numCache>
                <c:formatCode>General</c:formatCode>
                <c:ptCount val="4"/>
                <c:pt idx="2">
                  <c:v>1.2433480502723702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Friendster!$AK$27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Friendster!$AL$24:$AO$24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Friendster!$AL$27:$AO$27</c:f>
              <c:numCache>
                <c:formatCode>General</c:formatCode>
                <c:ptCount val="4"/>
                <c:pt idx="2">
                  <c:v>1.2433480502723702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Friendster!$W$30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Friendster!$X$29:$AA$29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Friendster!$X$30:$AA$30</c:f>
              <c:numCache>
                <c:formatCode>0.0</c:formatCode>
                <c:ptCount val="4"/>
                <c:pt idx="0">
                  <c:v>1.2</c:v>
                </c:pt>
                <c:pt idx="1">
                  <c:v>1.5</c:v>
                </c:pt>
                <c:pt idx="2">
                  <c:v>2.2999999999999998</c:v>
                </c:pt>
                <c:pt idx="3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Friendster!$W$31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Friendster!$X$29:$AA$29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Friendster!$X$31:$AA$31</c:f>
              <c:numCache>
                <c:formatCode>General</c:formatCode>
                <c:ptCount val="4"/>
                <c:pt idx="2">
                  <c:v>1.84E-2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Friendster!$W$32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Friendster!$X$29:$AA$29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Friendster!$X$32:$AA$32</c:f>
              <c:numCache>
                <c:formatCode>General</c:formatCode>
                <c:ptCount val="4"/>
                <c:pt idx="2">
                  <c:v>1.84E-2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3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Friendster!$AD$30</c:f>
              <c:strCache>
                <c:ptCount val="1"/>
                <c:pt idx="0">
                  <c:v>P5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Friendster!$AE$29:$AH$29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Friendster!$AE$30:$AH$30</c:f>
              <c:numCache>
                <c:formatCode>0.0</c:formatCode>
                <c:ptCount val="4"/>
                <c:pt idx="0">
                  <c:v>1.8131038917517879</c:v>
                </c:pt>
                <c:pt idx="1">
                  <c:v>14.97725075670304</c:v>
                </c:pt>
                <c:pt idx="2">
                  <c:v>19.331208838892739</c:v>
                </c:pt>
                <c:pt idx="3">
                  <c:v>20.331208838892699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Friendster!$AD$31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Friendster!$AE$29:$AH$29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Friendster!$AE$31:$AH$31</c:f>
              <c:numCache>
                <c:formatCode>General</c:formatCode>
                <c:ptCount val="4"/>
                <c:pt idx="2">
                  <c:v>0.15464967071114191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Friendster!$AD$32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Friendster!$AE$29:$AH$29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Friendster!$AE$32:$AH$32</c:f>
              <c:numCache>
                <c:formatCode>General</c:formatCode>
                <c:ptCount val="4"/>
                <c:pt idx="2">
                  <c:v>0.15464967071114191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Friendster!$AK$30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Friendster!$AL$29:$AO$29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Friendster!$AL$30:$AO$30</c:f>
              <c:numCache>
                <c:formatCode>0.0</c:formatCode>
                <c:ptCount val="4"/>
                <c:pt idx="0">
                  <c:v>17.737190860794598</c:v>
                </c:pt>
                <c:pt idx="1">
                  <c:v>35.324984385413238</c:v>
                </c:pt>
                <c:pt idx="2">
                  <c:v>47.50634135226786</c:v>
                </c:pt>
                <c:pt idx="3">
                  <c:v>47.906341352267901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Friendster!$AK$31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Friendster!$AL$29:$AO$29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Friendster!$AL$31:$AO$31</c:f>
              <c:numCache>
                <c:formatCode>General</c:formatCode>
                <c:ptCount val="4"/>
                <c:pt idx="2">
                  <c:v>0.38005073081814289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Friendster!$AK$32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Friendster!$AL$29:$AO$29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Friendster!$AL$32:$AO$32</c:f>
              <c:numCache>
                <c:formatCode>General</c:formatCode>
                <c:ptCount val="4"/>
                <c:pt idx="2">
                  <c:v>0.38005073081814289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Friendster!$W$35</c:f>
              <c:strCache>
                <c:ptCount val="1"/>
                <c:pt idx="0">
                  <c:v>P7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Friendster!$X$34:$AA$34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Friendster!$X$35:$AA$35</c:f>
              <c:numCache>
                <c:formatCode>0.0</c:formatCode>
                <c:ptCount val="4"/>
                <c:pt idx="0">
                  <c:v>1.3434341314870699</c:v>
                </c:pt>
                <c:pt idx="1">
                  <c:v>3.2494481997927833</c:v>
                </c:pt>
                <c:pt idx="2">
                  <c:v>5.5845526438198867</c:v>
                </c:pt>
                <c:pt idx="3">
                  <c:v>5.8988137875186801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Friendster!$W$36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Friendster!$X$34:$AA$34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Friendster!$X$36:$AA$36</c:f>
              <c:numCache>
                <c:formatCode>General</c:formatCode>
                <c:ptCount val="4"/>
                <c:pt idx="2">
                  <c:v>4.4676421150559094E-2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Friendster!$W$37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Friendster!$X$34:$AA$34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Friendster!$X$37:$AA$37</c:f>
              <c:numCache>
                <c:formatCode>General</c:formatCode>
                <c:ptCount val="4"/>
                <c:pt idx="2">
                  <c:v>4.4676421150559094E-2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Friendster!$AD$35</c:f>
              <c:strCache>
                <c:ptCount val="1"/>
                <c:pt idx="0">
                  <c:v>P8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Friendster!$AE$34:$AH$34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Friendster!$AE$35:$AH$35</c:f>
              <c:numCache>
                <c:formatCode>0.0</c:formatCode>
                <c:ptCount val="4"/>
                <c:pt idx="0">
                  <c:v>0.93831079396539008</c:v>
                </c:pt>
                <c:pt idx="1">
                  <c:v>3.5615592797411781</c:v>
                </c:pt>
                <c:pt idx="2">
                  <c:v>4.7982350432496403</c:v>
                </c:pt>
                <c:pt idx="3">
                  <c:v>4.7588279438598997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Friendster!$AD$36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Friendster!$AE$34:$AH$34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Friendster!$AE$36:$AH$36</c:f>
              <c:numCache>
                <c:formatCode>General</c:formatCode>
                <c:ptCount val="4"/>
                <c:pt idx="2">
                  <c:v>3.8385880345997124E-2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Friendster!$AD$37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Friendster!$AE$34:$AH$34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Friendster!$AE$37:$AH$37</c:f>
              <c:numCache>
                <c:formatCode>General</c:formatCode>
                <c:ptCount val="4"/>
                <c:pt idx="2">
                  <c:v>3.8385880345997124E-2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Friendster!$AK$35</c:f>
              <c:strCache>
                <c:ptCount val="1"/>
                <c:pt idx="0">
                  <c:v>P9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Friendster!$AL$34:$AO$34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Friendster!$AL$35:$AO$35</c:f>
              <c:numCache>
                <c:formatCode>0.0</c:formatCode>
                <c:ptCount val="4"/>
                <c:pt idx="0">
                  <c:v>0.27090546004486421</c:v>
                </c:pt>
                <c:pt idx="1">
                  <c:v>1.3936521310246386</c:v>
                </c:pt>
                <c:pt idx="2">
                  <c:v>1.7451693745683301</c:v>
                </c:pt>
                <c:pt idx="3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Friendster!$AK$36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Friendster!$AL$34:$AO$34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Friendster!$AL$36:$AO$36</c:f>
              <c:numCache>
                <c:formatCode>General</c:formatCode>
                <c:ptCount val="4"/>
                <c:pt idx="2">
                  <c:v>1.3961354996546641E-2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Friendster!$AK$37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Friendster!$AL$34:$AO$34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Friendster!$AL$37:$AO$37</c:f>
              <c:numCache>
                <c:formatCode>General</c:formatCode>
                <c:ptCount val="4"/>
                <c:pt idx="2">
                  <c:v>1.3961354996546641E-2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SF3K!$Q$1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SF3K!$Q$2:$Q$7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SF3K!$R$1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SF3K!$R$2:$R$7</c:f>
              <c:numCache>
                <c:formatCode>General</c:formatCode>
                <c:ptCount val="6"/>
                <c:pt idx="0">
                  <c:v>0.12</c:v>
                </c:pt>
                <c:pt idx="1">
                  <c:v>0.21013974939472599</c:v>
                </c:pt>
                <c:pt idx="2">
                  <c:v>2.1131038917517899</c:v>
                </c:pt>
                <c:pt idx="3">
                  <c:v>10.7371908607946</c:v>
                </c:pt>
                <c:pt idx="4">
                  <c:v>1.3434341314870699</c:v>
                </c:pt>
                <c:pt idx="5">
                  <c:v>0.63831079396539003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SF3K!$S$1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SF3K!$S$2:$S$7</c:f>
              <c:numCache>
                <c:formatCode>General</c:formatCode>
                <c:ptCount val="6"/>
                <c:pt idx="0">
                  <c:v>1.5288277170570801</c:v>
                </c:pt>
                <c:pt idx="1">
                  <c:v>4.8642005686156127</c:v>
                </c:pt>
                <c:pt idx="2">
                  <c:v>15.2700545158045</c:v>
                </c:pt>
                <c:pt idx="3">
                  <c:v>18.9545938965062</c:v>
                </c:pt>
                <c:pt idx="4">
                  <c:v>1.3746219656452694</c:v>
                </c:pt>
                <c:pt idx="5">
                  <c:v>1.3428206817381831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SF3K!$T$1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SF3K!$T$2:$T$7</c:f>
              <c:numCache>
                <c:formatCode>General</c:formatCode>
                <c:ptCount val="6"/>
                <c:pt idx="0">
                  <c:v>2.2158459962884867</c:v>
                </c:pt>
                <c:pt idx="1">
                  <c:v>15.652497386552445</c:v>
                </c:pt>
                <c:pt idx="2">
                  <c:v>23.79957964847739</c:v>
                </c:pt>
                <c:pt idx="3">
                  <c:v>51.058894927724289</c:v>
                </c:pt>
                <c:pt idx="4">
                  <c:v>4.1396934455444683</c:v>
                </c:pt>
                <c:pt idx="5">
                  <c:v>3.6285582845570037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SF3K!$U$1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SF3K!$U$2:$U$7</c:f>
              <c:numCache>
                <c:formatCode>General</c:formatCode>
                <c:ptCount val="6"/>
                <c:pt idx="0">
                  <c:v>1.9158459962884899</c:v>
                </c:pt>
                <c:pt idx="1">
                  <c:v>14.652497386552399</c:v>
                </c:pt>
                <c:pt idx="2">
                  <c:v>23.9995796484774</c:v>
                </c:pt>
                <c:pt idx="3">
                  <c:v>48.058894927724303</c:v>
                </c:pt>
                <c:pt idx="4">
                  <c:v>4.7396934455444697</c:v>
                </c:pt>
                <c:pt idx="5">
                  <c:v>3.8285582845569999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75969397054534848"/>
          <c:y val="9.8025809273840775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SF3K!$U$21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SF3K!$V$20:$Y$20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SF3K!$V$21:$Y$21</c:f>
              <c:numCache>
                <c:formatCode>General</c:formatCode>
                <c:ptCount val="4"/>
                <c:pt idx="0">
                  <c:v>0.12</c:v>
                </c:pt>
                <c:pt idx="1">
                  <c:v>1.5288277170570801</c:v>
                </c:pt>
                <c:pt idx="2">
                  <c:v>2.2158459962884867</c:v>
                </c:pt>
                <c:pt idx="3">
                  <c:v>1.9158459962884899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SF3K!$U$22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SF3K!$V$20:$Y$20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SF3K!$V$22:$Y$22</c:f>
              <c:numCache>
                <c:formatCode>General</c:formatCode>
                <c:ptCount val="4"/>
                <c:pt idx="2">
                  <c:v>2.6590151955461841E-2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SF3K!$U$23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SF3K!$V$20:$Y$20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SF3K!$V$23:$Y$23</c:f>
              <c:numCache>
                <c:formatCode>General</c:formatCode>
                <c:ptCount val="4"/>
                <c:pt idx="2">
                  <c:v>6.3816364693108419E-4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3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SF3K!$AA$21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SF3K!$AB$20:$AE$20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SF3K!$AB$21:$AE$21</c:f>
              <c:numCache>
                <c:formatCode>General</c:formatCode>
                <c:ptCount val="4"/>
                <c:pt idx="0">
                  <c:v>0.1</c:v>
                </c:pt>
                <c:pt idx="1">
                  <c:v>0.56235667987830673</c:v>
                </c:pt>
                <c:pt idx="2">
                  <c:v>2.3448829027131479</c:v>
                </c:pt>
                <c:pt idx="3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SF3K!$AA$22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SF3K!$AB$20:$AE$20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SF3K!$AB$22:$AE$22</c:f>
              <c:numCache>
                <c:formatCode>General</c:formatCode>
                <c:ptCount val="4"/>
                <c:pt idx="2">
                  <c:v>4.6897658054262962E-3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SF3K!$AA$23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SF3K!$AB$20:$AE$20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SF3K!$AB$23:$AE$23</c:f>
              <c:numCache>
                <c:formatCode>General</c:formatCode>
                <c:ptCount val="4"/>
                <c:pt idx="2">
                  <c:v>9.3795316108525927E-6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3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SF3K!$AG$21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SF3K!$AH$20:$AK$20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SF3K!$AH$21:$AK$21</c:f>
              <c:numCache>
                <c:formatCode>General</c:formatCode>
                <c:ptCount val="4"/>
                <c:pt idx="0">
                  <c:v>0.21013974939472599</c:v>
                </c:pt>
                <c:pt idx="1">
                  <c:v>4.8642005686156127</c:v>
                </c:pt>
                <c:pt idx="2">
                  <c:v>15.652497386552445</c:v>
                </c:pt>
                <c:pt idx="3">
                  <c:v>14.652497386552399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SF3K!$AG$22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SF3K!$AH$20:$AK$20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SF3K!$AH$22:$AK$22</c:f>
              <c:numCache>
                <c:formatCode>General</c:formatCode>
                <c:ptCount val="4"/>
                <c:pt idx="2">
                  <c:v>0.62609989546209788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SF3K!$AG$23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SF3K!$AH$20:$AK$20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SF3K!$AH$23:$AK$23</c:f>
              <c:numCache>
                <c:formatCode>General</c:formatCode>
                <c:ptCount val="4"/>
                <c:pt idx="2">
                  <c:v>7.5131987455451743E-2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SF3K!$U$27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SF3K!$V$26:$Y$26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SF3K!$V$27:$Y$27</c:f>
              <c:numCache>
                <c:formatCode>General</c:formatCode>
                <c:ptCount val="4"/>
                <c:pt idx="0">
                  <c:v>1.1000000000000001</c:v>
                </c:pt>
                <c:pt idx="1">
                  <c:v>5.4410200811292304</c:v>
                </c:pt>
                <c:pt idx="2">
                  <c:v>8.2583628802204547</c:v>
                </c:pt>
                <c:pt idx="3">
                  <c:v>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SF3K!$U$28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SF3K!$V$26:$Y$26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SF3K!$V$28:$Y$28</c:f>
              <c:numCache>
                <c:formatCode>General</c:formatCode>
                <c:ptCount val="4"/>
                <c:pt idx="2">
                  <c:v>1.6516725760440911E-2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SF3K!$U$29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SF3K!$V$26:$Y$26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SF3K!$V$29:$Y$29</c:f>
              <c:numCache>
                <c:formatCode>General</c:formatCode>
                <c:ptCount val="4"/>
                <c:pt idx="2">
                  <c:v>3.3033451520881821E-5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SF3K!$AB$26:$AE$26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SF3K!$AB$27:$AE$27</c:f>
              <c:numCache>
                <c:formatCode>General</c:formatCode>
                <c:ptCount val="4"/>
                <c:pt idx="0">
                  <c:v>2.1131038917517899</c:v>
                </c:pt>
                <c:pt idx="1">
                  <c:v>15.2700545158045</c:v>
                </c:pt>
                <c:pt idx="2">
                  <c:v>23.79957964847739</c:v>
                </c:pt>
                <c:pt idx="3">
                  <c:v>23.9995796484774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SF3K!$AB$26:$AE$26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SF3K!$AB$28:$AE$28</c:f>
              <c:numCache>
                <c:formatCode>General</c:formatCode>
                <c:ptCount val="4"/>
                <c:pt idx="2">
                  <c:v>4.7599159296954782E-2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SF3K!$AB$26:$AE$26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SF3K!$AB$29:$AE$29</c:f>
              <c:numCache>
                <c:formatCode>General</c:formatCode>
                <c:ptCount val="4"/>
                <c:pt idx="2">
                  <c:v>9.5198318593909561E-5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SF3K!$AG$27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SF3K!$AH$26:$AK$26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SF3K!$AH$27:$AK$27</c:f>
              <c:numCache>
                <c:formatCode>General</c:formatCode>
                <c:ptCount val="4"/>
                <c:pt idx="0">
                  <c:v>10.7371908607946</c:v>
                </c:pt>
                <c:pt idx="1">
                  <c:v>18.9545938965062</c:v>
                </c:pt>
                <c:pt idx="2">
                  <c:v>51.058894927724289</c:v>
                </c:pt>
                <c:pt idx="3">
                  <c:v>48.058894927724303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SF3K!$AG$28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SF3K!$AH$26:$AK$26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SF3K!$AH$28:$AK$28</c:f>
              <c:numCache>
                <c:formatCode>General</c:formatCode>
                <c:ptCount val="4"/>
                <c:pt idx="2">
                  <c:v>0.10211778985544857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SF3K!$AG$29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SF3K!$AH$26:$AK$26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SF3K!$AH$29:$AK$29</c:f>
              <c:numCache>
                <c:formatCode>General</c:formatCode>
                <c:ptCount val="4"/>
                <c:pt idx="2">
                  <c:v>2.0423557971089716E-4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SF3K!$U$35</c:f>
              <c:strCache>
                <c:ptCount val="1"/>
                <c:pt idx="0">
                  <c:v>P7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SF3K!$V$34:$Y$34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SF3K!$V$35:$Y$35</c:f>
              <c:numCache>
                <c:formatCode>General</c:formatCode>
                <c:ptCount val="4"/>
                <c:pt idx="0">
                  <c:v>1.3434341314870699</c:v>
                </c:pt>
                <c:pt idx="1">
                  <c:v>1.3746219656452694</c:v>
                </c:pt>
                <c:pt idx="2">
                  <c:v>4.1396934455444683</c:v>
                </c:pt>
                <c:pt idx="3">
                  <c:v>4.7396934455444697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SF3K!$U$36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SF3K!$V$34:$Y$34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SF3K!$V$36:$Y$36</c:f>
              <c:numCache>
                <c:formatCode>General</c:formatCode>
                <c:ptCount val="4"/>
                <c:pt idx="2">
                  <c:v>8.2793868910889367E-3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SF3K!$U$37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SF3K!$V$34:$Y$34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SF3K!$V$37:$Y$37</c:f>
              <c:numCache>
                <c:formatCode>General</c:formatCode>
                <c:ptCount val="4"/>
                <c:pt idx="2">
                  <c:v>1.6558773782177875E-5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SF3K!$AA$35</c:f>
              <c:strCache>
                <c:ptCount val="1"/>
                <c:pt idx="0">
                  <c:v>P8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SF3K!$AB$34:$AE$34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SF3K!$AB$35:$AE$35</c:f>
              <c:numCache>
                <c:formatCode>General</c:formatCode>
                <c:ptCount val="4"/>
                <c:pt idx="0">
                  <c:v>0.63831079396539003</c:v>
                </c:pt>
                <c:pt idx="1">
                  <c:v>1.3428206817381831</c:v>
                </c:pt>
                <c:pt idx="2">
                  <c:v>3.6285582845570037</c:v>
                </c:pt>
                <c:pt idx="3">
                  <c:v>3.8285582845569999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SF3K!$AA$36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SF3K!$AB$34:$AE$34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SF3K!$AB$36:$AE$36</c:f>
              <c:numCache>
                <c:formatCode>General</c:formatCode>
                <c:ptCount val="4"/>
                <c:pt idx="2">
                  <c:v>7.2571165691140077E-3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SF3K!$AA$37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SF3K!$AB$34:$AE$34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SF3K!$AB$37:$AE$37</c:f>
              <c:numCache>
                <c:formatCode>General</c:formatCode>
                <c:ptCount val="4"/>
                <c:pt idx="2">
                  <c:v>1.4514233138228016E-5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5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SF3K!$AG$35</c:f>
              <c:strCache>
                <c:ptCount val="1"/>
                <c:pt idx="0">
                  <c:v>P9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SF3K!$AH$34:$AK$34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SF3K!$AH$35:$AK$35</c:f>
              <c:numCache>
                <c:formatCode>General</c:formatCode>
                <c:ptCount val="4"/>
                <c:pt idx="0">
                  <c:v>0.23</c:v>
                </c:pt>
                <c:pt idx="1">
                  <c:v>0.44215942120883484</c:v>
                </c:pt>
                <c:pt idx="2">
                  <c:v>1.8526465969904899</c:v>
                </c:pt>
                <c:pt idx="3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SF3K!$AG$36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SF3K!$AH$34:$AK$34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SF3K!$AH$36:$AK$36</c:f>
              <c:numCache>
                <c:formatCode>General</c:formatCode>
                <c:ptCount val="4"/>
                <c:pt idx="2">
                  <c:v>2.4084405760876369E-2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SF3K!$AG$37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SF3K!$AH$34:$AK$34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SF3K!$AH$37:$AK$37</c:f>
              <c:numCache>
                <c:formatCode>General</c:formatCode>
                <c:ptCount val="4"/>
                <c:pt idx="2">
                  <c:v>1.9267524608701097E-4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SF10k!$O$1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SF10k!$O$2:$O$7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SF10k!$P$1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SF10k!$P$2:$P$7</c:f>
              <c:numCache>
                <c:formatCode>General</c:formatCode>
                <c:ptCount val="6"/>
                <c:pt idx="0">
                  <c:v>0.15</c:v>
                </c:pt>
                <c:pt idx="1">
                  <c:v>0.21013974939472599</c:v>
                </c:pt>
                <c:pt idx="2">
                  <c:v>2.1131038917517899</c:v>
                </c:pt>
                <c:pt idx="3">
                  <c:v>10.7371908607946</c:v>
                </c:pt>
                <c:pt idx="4">
                  <c:v>1.3434341314870699</c:v>
                </c:pt>
                <c:pt idx="5">
                  <c:v>0.63831079396539003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SF10k!$Q$1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SF10k!$Q$2:$Q$7</c:f>
              <c:numCache>
                <c:formatCode>General</c:formatCode>
                <c:ptCount val="6"/>
                <c:pt idx="0">
                  <c:v>1.4401856591582431</c:v>
                </c:pt>
                <c:pt idx="1">
                  <c:v>6.1465464644993402</c:v>
                </c:pt>
                <c:pt idx="2">
                  <c:v>13.0015183696561</c:v>
                </c:pt>
                <c:pt idx="3">
                  <c:v>23.992039523292298</c:v>
                </c:pt>
                <c:pt idx="4">
                  <c:v>1.4909619426008727</c:v>
                </c:pt>
                <c:pt idx="5">
                  <c:v>1.3439260772666255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SF10k!$R$1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SF10k!$R$2:$R$7</c:f>
              <c:numCache>
                <c:formatCode>General</c:formatCode>
                <c:ptCount val="6"/>
                <c:pt idx="0">
                  <c:v>1.7970032622259269</c:v>
                </c:pt>
                <c:pt idx="1">
                  <c:v>16.08307139862805</c:v>
                </c:pt>
                <c:pt idx="2">
                  <c:v>22.499977694177439</c:v>
                </c:pt>
                <c:pt idx="3">
                  <c:v>50.898652021146098</c:v>
                </c:pt>
                <c:pt idx="4">
                  <c:v>4.2540914026880099</c:v>
                </c:pt>
                <c:pt idx="5">
                  <c:v>3.3227406245998257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SF10k!$S$1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SF10k!$S$2:$S$7</c:f>
              <c:numCache>
                <c:formatCode>General</c:formatCode>
                <c:ptCount val="6"/>
                <c:pt idx="0">
                  <c:v>1.59700326222593</c:v>
                </c:pt>
                <c:pt idx="1">
                  <c:v>16.8830713986281</c:v>
                </c:pt>
                <c:pt idx="2">
                  <c:v>22.999977694177399</c:v>
                </c:pt>
                <c:pt idx="3">
                  <c:v>51.898652021146098</c:v>
                </c:pt>
                <c:pt idx="4">
                  <c:v>3.9540914026880101</c:v>
                </c:pt>
                <c:pt idx="5">
                  <c:v>3.8227406245998301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75969397054534848"/>
          <c:y val="9.8025809273840775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SF10k!$T$16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SF10k!$U$15:$X$15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SF10k!$U$16:$X$16</c:f>
              <c:numCache>
                <c:formatCode>General</c:formatCode>
                <c:ptCount val="4"/>
                <c:pt idx="0">
                  <c:v>0.15</c:v>
                </c:pt>
                <c:pt idx="1">
                  <c:v>1.4401856591582431</c:v>
                </c:pt>
                <c:pt idx="2">
                  <c:v>1.7970032622259269</c:v>
                </c:pt>
                <c:pt idx="3">
                  <c:v>1.59700326222593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SF10k!$T$17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SF10k!$U$15:$X$15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SF10k!$U$17:$X$17</c:f>
              <c:numCache>
                <c:formatCode>General</c:formatCode>
                <c:ptCount val="4"/>
                <c:pt idx="2">
                  <c:v>3.5940065244518538E-2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SF10k!$T$18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SF10k!$U$15:$X$15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SF10k!$U$18:$X$18</c:f>
              <c:numCache>
                <c:formatCode>General</c:formatCode>
                <c:ptCount val="4"/>
                <c:pt idx="2">
                  <c:v>0.17970032622259269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3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SF10k!$AA$16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SF10k!$AB$15:$AE$15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SF10k!$AB$16:$AE$16</c:f>
              <c:numCache>
                <c:formatCode>General</c:formatCode>
                <c:ptCount val="4"/>
                <c:pt idx="0">
                  <c:v>0.01</c:v>
                </c:pt>
                <c:pt idx="1">
                  <c:v>0.58172842150126958</c:v>
                </c:pt>
                <c:pt idx="2">
                  <c:v>1.8803320191467323</c:v>
                </c:pt>
                <c:pt idx="3">
                  <c:v>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SF10k!$AA$17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SF10k!$AB$15:$AE$15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SF10k!$AB$17:$AE$17</c:f>
              <c:numCache>
                <c:formatCode>General</c:formatCode>
                <c:ptCount val="4"/>
                <c:pt idx="2">
                  <c:v>9.4016600957336615E-3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SF10k!$AA$18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SF10k!$AB$15:$AE$15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SF10k!$AB$18:$AE$18</c:f>
              <c:numCache>
                <c:formatCode>General</c:formatCode>
                <c:ptCount val="4"/>
                <c:pt idx="2">
                  <c:v>9.4016600957336615E-3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3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SF10k!$AH$16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SF10k!$AI$15:$AL$15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SF10k!$AI$16:$AL$16</c:f>
              <c:numCache>
                <c:formatCode>General</c:formatCode>
                <c:ptCount val="4"/>
                <c:pt idx="0">
                  <c:v>0.21013974939472599</c:v>
                </c:pt>
                <c:pt idx="1">
                  <c:v>6.1465464644993402</c:v>
                </c:pt>
                <c:pt idx="2">
                  <c:v>16.08307139862805</c:v>
                </c:pt>
                <c:pt idx="3">
                  <c:v>16.8830713986281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SF10k!$AH$17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SF10k!$AI$15:$AL$15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SF10k!$AI$17:$AL$17</c:f>
              <c:numCache>
                <c:formatCode>General</c:formatCode>
                <c:ptCount val="4"/>
                <c:pt idx="2">
                  <c:v>1.608307139862805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SF10k!$AH$18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SF10k!$AI$15:$AL$15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SF10k!$AI$18:$AL$18</c:f>
              <c:numCache>
                <c:formatCode>General</c:formatCode>
                <c:ptCount val="4"/>
                <c:pt idx="2">
                  <c:v>1.608307139862805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SF10k!$T$22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SF10k!$U$21:$X$21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SF10k!$U$22:$X$22</c:f>
              <c:numCache>
                <c:formatCode>General</c:formatCode>
                <c:ptCount val="4"/>
                <c:pt idx="0">
                  <c:v>3.2</c:v>
                </c:pt>
                <c:pt idx="1">
                  <c:v>8.4233855283348493</c:v>
                </c:pt>
                <c:pt idx="2">
                  <c:v>10.288811032110386</c:v>
                </c:pt>
                <c:pt idx="3">
                  <c:v>10.23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SF10k!$T$23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SF10k!$U$21:$X$21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SF10k!$U$23:$X$23</c:f>
              <c:numCache>
                <c:formatCode>General</c:formatCode>
                <c:ptCount val="4"/>
                <c:pt idx="2">
                  <c:v>5.1444055160551935E-2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SF10k!$T$24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SF10k!$U$21:$X$21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SF10k!$U$24:$X$24</c:f>
              <c:numCache>
                <c:formatCode>General</c:formatCode>
                <c:ptCount val="4"/>
                <c:pt idx="2">
                  <c:v>5.1444055160551935E-2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SF10k!$AA$22</c:f>
              <c:strCache>
                <c:ptCount val="1"/>
                <c:pt idx="0">
                  <c:v>P5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SF10k!$AB$21:$AE$21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SF10k!$AB$22:$AE$22</c:f>
              <c:numCache>
                <c:formatCode>General</c:formatCode>
                <c:ptCount val="4"/>
                <c:pt idx="0">
                  <c:v>2.1131038917517899</c:v>
                </c:pt>
                <c:pt idx="1">
                  <c:v>13.0015183696561</c:v>
                </c:pt>
                <c:pt idx="2">
                  <c:v>22.499977694177439</c:v>
                </c:pt>
                <c:pt idx="3">
                  <c:v>22.999977694177399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SF10k!$AA$23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SF10k!$AB$21:$AE$21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SF10k!$AB$23:$AE$23</c:f>
              <c:numCache>
                <c:formatCode>General</c:formatCode>
                <c:ptCount val="4"/>
                <c:pt idx="2">
                  <c:v>0.1124998884708872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SF10k!$AA$24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SF10k!$AB$21:$AE$21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SF10k!$AB$24:$AE$24</c:f>
              <c:numCache>
                <c:formatCode>General</c:formatCode>
                <c:ptCount val="4"/>
                <c:pt idx="2">
                  <c:v>0.1124998884708872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SF10k!$AH$22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SF10k!$AI$21:$AL$21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SF10k!$AI$22:$AL$22</c:f>
              <c:numCache>
                <c:formatCode>General</c:formatCode>
                <c:ptCount val="4"/>
                <c:pt idx="0">
                  <c:v>10.7371908607946</c:v>
                </c:pt>
                <c:pt idx="1">
                  <c:v>23.992039523292298</c:v>
                </c:pt>
                <c:pt idx="2">
                  <c:v>50.898652021146098</c:v>
                </c:pt>
                <c:pt idx="3">
                  <c:v>51.898652021146098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SF10k!$AH$23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SF10k!$AI$21:$AL$21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SF10k!$AI$23:$AL$23</c:f>
              <c:numCache>
                <c:formatCode>General</c:formatCode>
                <c:ptCount val="4"/>
                <c:pt idx="2">
                  <c:v>0.25449326010573048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SF10k!$AH$24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SF10k!$AI$21:$AL$21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SF10k!$AI$24:$AL$24</c:f>
              <c:numCache>
                <c:formatCode>General</c:formatCode>
                <c:ptCount val="4"/>
                <c:pt idx="2">
                  <c:v>0.25449326010573048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SF10k!$T$28</c:f>
              <c:strCache>
                <c:ptCount val="1"/>
                <c:pt idx="0">
                  <c:v>P7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SF10k!$U$27:$X$27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SF10k!$U$28:$X$28</c:f>
              <c:numCache>
                <c:formatCode>General</c:formatCode>
                <c:ptCount val="4"/>
                <c:pt idx="0">
                  <c:v>1.3434341314870699</c:v>
                </c:pt>
                <c:pt idx="1">
                  <c:v>1.4909619426008727</c:v>
                </c:pt>
                <c:pt idx="2">
                  <c:v>4.2540914026880099</c:v>
                </c:pt>
                <c:pt idx="3">
                  <c:v>3.9540914026880101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SF10k!$T$29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SF10k!$U$27:$X$27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SF10k!$U$29:$X$29</c:f>
              <c:numCache>
                <c:formatCode>General</c:formatCode>
                <c:ptCount val="4"/>
                <c:pt idx="2">
                  <c:v>2.1270457013440051E-2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SF10k!$T$30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SF10k!$U$27:$X$27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SF10k!$U$30:$X$30</c:f>
              <c:numCache>
                <c:formatCode>General</c:formatCode>
                <c:ptCount val="4"/>
                <c:pt idx="2">
                  <c:v>2.1270457013440051E-2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SF10k!$AA$28</c:f>
              <c:strCache>
                <c:ptCount val="1"/>
                <c:pt idx="0">
                  <c:v>P8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SF10k!$AB$27:$AE$27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SF10k!$AB$28:$AE$28</c:f>
              <c:numCache>
                <c:formatCode>General</c:formatCode>
                <c:ptCount val="4"/>
                <c:pt idx="0">
                  <c:v>0.63831079396539003</c:v>
                </c:pt>
                <c:pt idx="1">
                  <c:v>1.3439260772666255</c:v>
                </c:pt>
                <c:pt idx="2">
                  <c:v>3.3227406245998257</c:v>
                </c:pt>
                <c:pt idx="3">
                  <c:v>3.8227406245998301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SF10k!$AA$29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SF10k!$AB$27:$AE$27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SF10k!$AB$29:$AE$29</c:f>
              <c:numCache>
                <c:formatCode>General</c:formatCode>
                <c:ptCount val="4"/>
                <c:pt idx="2">
                  <c:v>1.6613703122999129E-2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SF10k!$AA$30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SF10k!$AB$27:$AE$27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SF10k!$AB$30:$AE$30</c:f>
              <c:numCache>
                <c:formatCode>General</c:formatCode>
                <c:ptCount val="4"/>
                <c:pt idx="2">
                  <c:v>1.6613703122999129E-2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  <c:max val="5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SF10k!$AH$28</c:f>
              <c:strCache>
                <c:ptCount val="1"/>
                <c:pt idx="0">
                  <c:v>P9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SF10k!$AI$27:$AL$27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SF10k!$AI$28:$AL$28</c:f>
              <c:numCache>
                <c:formatCode>General</c:formatCode>
                <c:ptCount val="4"/>
                <c:pt idx="0">
                  <c:v>1.2</c:v>
                </c:pt>
                <c:pt idx="1">
                  <c:v>2.6172276515570894</c:v>
                </c:pt>
                <c:pt idx="2">
                  <c:v>4.8396989402001038</c:v>
                </c:pt>
                <c:pt idx="3">
                  <c:v>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SF10k!$AH$29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SF10k!$AI$27:$AL$27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SF10k!$AI$29:$AL$29</c:f>
              <c:numCache>
                <c:formatCode>General</c:formatCode>
                <c:ptCount val="4"/>
                <c:pt idx="2">
                  <c:v>0.29038193641200621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SF10k!$AH$30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SF10k!$AI$27:$AL$27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SF10k!$AI$30:$AL$30</c:f>
              <c:numCache>
                <c:formatCode>General</c:formatCode>
                <c:ptCount val="4"/>
                <c:pt idx="2">
                  <c:v>4.8396989402001038E-2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'Graph500-28'!$Q$1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'Graph500-28'!$Q$2:$Q$7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'Graph500-28'!$R$1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'Graph500-28'!$R$2:$R$7</c:f>
              <c:numCache>
                <c:formatCode>General</c:formatCode>
                <c:ptCount val="6"/>
                <c:pt idx="0">
                  <c:v>0.12</c:v>
                </c:pt>
                <c:pt idx="1">
                  <c:v>0.51013974900000003</c:v>
                </c:pt>
                <c:pt idx="2">
                  <c:v>2.1131038919999998</c:v>
                </c:pt>
                <c:pt idx="3">
                  <c:v>3.7371908610000002</c:v>
                </c:pt>
                <c:pt idx="4">
                  <c:v>2.1434341309999998</c:v>
                </c:pt>
                <c:pt idx="5">
                  <c:v>0.93831079399999995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'Graph500-28'!$S$1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'Graph500-28'!$S$2:$S$7</c:f>
              <c:numCache>
                <c:formatCode>General</c:formatCode>
                <c:ptCount val="6"/>
                <c:pt idx="0">
                  <c:v>6.4554052064433742</c:v>
                </c:pt>
                <c:pt idx="1">
                  <c:v>1.6995582953913331</c:v>
                </c:pt>
                <c:pt idx="2">
                  <c:v>9.3243236338791</c:v>
                </c:pt>
                <c:pt idx="3">
                  <c:v>16.107339584900885</c:v>
                </c:pt>
                <c:pt idx="4">
                  <c:v>17.218232991672469</c:v>
                </c:pt>
                <c:pt idx="5">
                  <c:v>5.3295928769801888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'Graph500-28'!$T$1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'Graph500-28'!$T$2:$T$7</c:f>
              <c:numCache>
                <c:formatCode>General</c:formatCode>
                <c:ptCount val="6"/>
                <c:pt idx="0">
                  <c:v>23.292620396157105</c:v>
                </c:pt>
                <c:pt idx="1">
                  <c:v>4.8931411854759945</c:v>
                </c:pt>
                <c:pt idx="2">
                  <c:v>11.484573919738402</c:v>
                </c:pt>
                <c:pt idx="3">
                  <c:v>27.260043828104369</c:v>
                </c:pt>
                <c:pt idx="4">
                  <c:v>53.484903287123281</c:v>
                </c:pt>
                <c:pt idx="5">
                  <c:v>10.32026005745896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'Graph500-28'!$U$1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'Graph500-28'!$U$2:$U$7</c:f>
              <c:numCache>
                <c:formatCode>General</c:formatCode>
                <c:ptCount val="6"/>
                <c:pt idx="0">
                  <c:v>21.292620396157101</c:v>
                </c:pt>
                <c:pt idx="1">
                  <c:v>5.0931411854759903</c:v>
                </c:pt>
                <c:pt idx="2">
                  <c:v>10.4845739197384</c:v>
                </c:pt>
                <c:pt idx="3">
                  <c:v>25.260043828104401</c:v>
                </c:pt>
                <c:pt idx="4">
                  <c:v>54.484903287123302</c:v>
                </c:pt>
                <c:pt idx="5">
                  <c:v>9.3202600574590004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25506434091571883"/>
          <c:y val="0.12024803149606299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'Graph500-28'!$W$14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'Graph500-28'!$X$13:$AA$13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'Graph500-28'!$X$14:$AA$14</c:f>
              <c:numCache>
                <c:formatCode>General</c:formatCode>
                <c:ptCount val="4"/>
                <c:pt idx="0">
                  <c:v>0.12</c:v>
                </c:pt>
                <c:pt idx="1">
                  <c:v>6.4554052064433742</c:v>
                </c:pt>
                <c:pt idx="2">
                  <c:v>23.292620396157105</c:v>
                </c:pt>
                <c:pt idx="3">
                  <c:v>21.292620396157101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'Graph500-28'!$W$15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'Graph500-28'!$X$13:$AA$13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'Graph500-28'!$X$15:$AA$15</c:f>
              <c:numCache>
                <c:formatCode>General</c:formatCode>
                <c:ptCount val="4"/>
                <c:pt idx="2">
                  <c:v>0.30280406515004232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'Graph500-28'!$W$16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'Graph500-28'!$X$13:$AA$13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'Graph500-28'!$X$16:$AA$16</c:f>
              <c:numCache>
                <c:formatCode>General</c:formatCode>
                <c:ptCount val="4"/>
                <c:pt idx="2">
                  <c:v>0.30280406515004232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'Graph500-28'!$AD$14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'Graph500-28'!$AE$13:$AH$13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'Graph500-28'!$AE$14:$AH$14</c:f>
              <c:numCache>
                <c:formatCode>General</c:formatCode>
                <c:ptCount val="4"/>
                <c:pt idx="0">
                  <c:v>0.51013974900000003</c:v>
                </c:pt>
                <c:pt idx="1">
                  <c:v>1.6995582953913331</c:v>
                </c:pt>
                <c:pt idx="2">
                  <c:v>4.8931411854759945</c:v>
                </c:pt>
                <c:pt idx="3">
                  <c:v>5.0931411854759903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'Graph500-28'!$AD$15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'Graph500-28'!$AE$13:$AH$13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'Graph500-28'!$AE$15:$AH$15</c:f>
              <c:numCache>
                <c:formatCode>General</c:formatCode>
                <c:ptCount val="4"/>
                <c:pt idx="2">
                  <c:v>6.3610835411187922E-2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'Graph500-28'!$AD$16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'Graph500-28'!$AE$13:$AH$13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'Graph500-28'!$AE$16:$AH$16</c:f>
              <c:numCache>
                <c:formatCode>General</c:formatCode>
                <c:ptCount val="4"/>
                <c:pt idx="2">
                  <c:v>6.3610835411187922E-2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'Graph500-28'!$W$19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'Graph500-28'!$X$18:$AA$18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'Graph500-28'!$X$19:$AA$19</c:f>
              <c:numCache>
                <c:formatCode>General</c:formatCode>
                <c:ptCount val="4"/>
                <c:pt idx="0">
                  <c:v>2.1131038919999998</c:v>
                </c:pt>
                <c:pt idx="1">
                  <c:v>9.3243236338791</c:v>
                </c:pt>
                <c:pt idx="2">
                  <c:v>11.484573919738402</c:v>
                </c:pt>
                <c:pt idx="3">
                  <c:v>10.4845739197384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'Graph500-28'!$W$20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'Graph500-28'!$X$18:$AA$18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'Graph500-28'!$X$20:$AA$20</c:f>
              <c:numCache>
                <c:formatCode>General</c:formatCode>
                <c:ptCount val="4"/>
                <c:pt idx="2">
                  <c:v>0.14929946095659921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'Graph500-28'!$W$21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'Graph500-28'!$X$18:$AA$18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'Graph500-28'!$X$21:$AA$21</c:f>
              <c:numCache>
                <c:formatCode>General</c:formatCode>
                <c:ptCount val="4"/>
                <c:pt idx="2">
                  <c:v>0.14929946095659921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'Graph500-28'!$AD$19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'Graph500-28'!$AE$18:$AH$18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'Graph500-28'!$AE$19:$AH$19</c:f>
              <c:numCache>
                <c:formatCode>General</c:formatCode>
                <c:ptCount val="4"/>
                <c:pt idx="0">
                  <c:v>3.7371908610000002</c:v>
                </c:pt>
                <c:pt idx="1">
                  <c:v>16.107339584900885</c:v>
                </c:pt>
                <c:pt idx="2">
                  <c:v>27.260043828104369</c:v>
                </c:pt>
                <c:pt idx="3">
                  <c:v>25.260043828104401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'Graph500-28'!$AD$20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'Graph500-28'!$AE$18:$AH$18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'Graph500-28'!$AE$20:$AH$20</c:f>
              <c:numCache>
                <c:formatCode>General</c:formatCode>
                <c:ptCount val="4"/>
                <c:pt idx="2">
                  <c:v>0.35438056976535676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'Graph500-28'!$AD$21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'Graph500-28'!$AE$18:$AH$18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'Graph500-28'!$AE$21:$AH$21</c:f>
              <c:numCache>
                <c:formatCode>General</c:formatCode>
                <c:ptCount val="4"/>
                <c:pt idx="2">
                  <c:v>0.35438056976535676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'Graph500-28'!$W$24</c:f>
              <c:strCache>
                <c:ptCount val="1"/>
                <c:pt idx="0">
                  <c:v>P8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'Graph500-28'!$X$23:$AA$23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'Graph500-28'!$X$24:$AA$24</c:f>
              <c:numCache>
                <c:formatCode>General</c:formatCode>
                <c:ptCount val="4"/>
                <c:pt idx="0">
                  <c:v>2.1434341309999998</c:v>
                </c:pt>
                <c:pt idx="1">
                  <c:v>17.218232991672469</c:v>
                </c:pt>
                <c:pt idx="2">
                  <c:v>53.484903287123281</c:v>
                </c:pt>
                <c:pt idx="3">
                  <c:v>54.484903287123302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'Graph500-28'!$W$25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'Graph500-28'!$X$23:$AA$23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'Graph500-28'!$X$25:$AA$25</c:f>
              <c:numCache>
                <c:formatCode>General</c:formatCode>
                <c:ptCount val="4"/>
                <c:pt idx="2">
                  <c:v>0.69530374273260265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'Graph500-28'!$W$26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'Graph500-28'!$X$23:$AA$23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'Graph500-28'!$X$26:$AA$26</c:f>
              <c:numCache>
                <c:formatCode>General</c:formatCode>
                <c:ptCount val="4"/>
                <c:pt idx="2">
                  <c:v>0.69530374273260265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'Graph500-28'!$AD$24</c:f>
              <c:strCache>
                <c:ptCount val="1"/>
                <c:pt idx="0">
                  <c:v>P9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'Graph500-28'!$AE$23:$AH$23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'Graph500-28'!$AE$24:$AH$24</c:f>
              <c:numCache>
                <c:formatCode>General</c:formatCode>
                <c:ptCount val="4"/>
                <c:pt idx="0">
                  <c:v>0.93831079399999995</c:v>
                </c:pt>
                <c:pt idx="1">
                  <c:v>5.3295928769801888</c:v>
                </c:pt>
                <c:pt idx="2">
                  <c:v>10.32026005745896</c:v>
                </c:pt>
                <c:pt idx="3">
                  <c:v>9.3202600574590004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'Graph500-28'!$AD$25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'Graph500-28'!$AE$23:$AH$23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'Graph500-28'!$AE$25:$AH$25</c:f>
              <c:numCache>
                <c:formatCode>General</c:formatCode>
                <c:ptCount val="4"/>
                <c:pt idx="2">
                  <c:v>0.13416338074696646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'Graph500-28'!$AD$26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'Graph500-28'!$AE$23:$AH$23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'Graph500-28'!$AE$26:$AH$26</c:f>
              <c:numCache>
                <c:formatCode>General</c:formatCode>
                <c:ptCount val="4"/>
                <c:pt idx="2">
                  <c:v>0.13416338074696646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'Twitter-mpi'!$N$1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'Twitter-mpi'!$N$2:$N$7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'Twitter-mpi'!$O$1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'Twitter-mpi'!$O$2:$O$7</c:f>
              <c:numCache>
                <c:formatCode>General</c:formatCode>
                <c:ptCount val="6"/>
                <c:pt idx="0">
                  <c:v>0.12</c:v>
                </c:pt>
                <c:pt idx="1">
                  <c:v>0.91013974900000005</c:v>
                </c:pt>
                <c:pt idx="2">
                  <c:v>1.113103892</c:v>
                </c:pt>
                <c:pt idx="3">
                  <c:v>2.7371908610000002</c:v>
                </c:pt>
                <c:pt idx="4">
                  <c:v>1.143434131</c:v>
                </c:pt>
                <c:pt idx="5">
                  <c:v>0.73831079399999999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'Twitter-mpi'!$P$1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'Twitter-mpi'!$P$2:$P$7</c:f>
              <c:numCache>
                <c:formatCode>General</c:formatCode>
                <c:ptCount val="6"/>
                <c:pt idx="0">
                  <c:v>8.4554052064433698</c:v>
                </c:pt>
                <c:pt idx="1">
                  <c:v>4.6995582953913297</c:v>
                </c:pt>
                <c:pt idx="2">
                  <c:v>7.3243236338791</c:v>
                </c:pt>
                <c:pt idx="3">
                  <c:v>15.107339584900901</c:v>
                </c:pt>
                <c:pt idx="4">
                  <c:v>17.218232991672469</c:v>
                </c:pt>
                <c:pt idx="5">
                  <c:v>5.3295928769801888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'Twitter-mpi'!$Q$1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'Twitter-mpi'!$Q$2:$Q$7</c:f>
              <c:numCache>
                <c:formatCode>General</c:formatCode>
                <c:ptCount val="6"/>
                <c:pt idx="0">
                  <c:v>18.292620396157101</c:v>
                </c:pt>
                <c:pt idx="1">
                  <c:v>8.8931411854759901</c:v>
                </c:pt>
                <c:pt idx="2">
                  <c:v>14.4845739197384</c:v>
                </c:pt>
                <c:pt idx="3">
                  <c:v>32.260043828104401</c:v>
                </c:pt>
                <c:pt idx="4">
                  <c:v>27.484903287123299</c:v>
                </c:pt>
                <c:pt idx="5">
                  <c:v>14.320260057459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'Twitter-mpi'!$R$1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'Twitter-mpi'!$R$2:$R$7</c:f>
              <c:numCache>
                <c:formatCode>General</c:formatCode>
                <c:ptCount val="6"/>
                <c:pt idx="0">
                  <c:v>20.292620396157101</c:v>
                </c:pt>
                <c:pt idx="1">
                  <c:v>6.0931411854759903</c:v>
                </c:pt>
                <c:pt idx="2">
                  <c:v>13.4845739197384</c:v>
                </c:pt>
                <c:pt idx="3">
                  <c:v>31.260043828104401</c:v>
                </c:pt>
                <c:pt idx="4">
                  <c:v>28.484903287123299</c:v>
                </c:pt>
                <c:pt idx="5">
                  <c:v>12.320260057459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27821248906386697"/>
          <c:y val="7.1316205666599367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'Twitter-mpi'!$T$15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'Twitter-mpi'!$U$14:$X$14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'Twitter-mpi'!$U$15:$X$15</c:f>
              <c:numCache>
                <c:formatCode>General</c:formatCode>
                <c:ptCount val="4"/>
                <c:pt idx="0">
                  <c:v>0.12</c:v>
                </c:pt>
                <c:pt idx="1">
                  <c:v>8.4554052064433698</c:v>
                </c:pt>
                <c:pt idx="2">
                  <c:v>18.292620396157101</c:v>
                </c:pt>
                <c:pt idx="3">
                  <c:v>20.292620396157101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'Twitter-mpi'!$T$16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'Twitter-mpi'!$U$14:$X$14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'Twitter-mpi'!$U$16:$X$16</c:f>
              <c:numCache>
                <c:formatCode>General</c:formatCode>
                <c:ptCount val="4"/>
                <c:pt idx="2">
                  <c:v>0.21951144475388523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'Twitter-mpi'!$T$17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'Twitter-mpi'!$U$14:$X$14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'Twitter-mpi'!$U$17:$X$17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'Twitter-mpi'!$AA$15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'Twitter-mpi'!$AB$14:$AE$14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'Twitter-mpi'!$AB$15:$AE$15</c:f>
              <c:numCache>
                <c:formatCode>General</c:formatCode>
                <c:ptCount val="4"/>
                <c:pt idx="0">
                  <c:v>0.91013974900000005</c:v>
                </c:pt>
                <c:pt idx="1">
                  <c:v>4.6995582953913297</c:v>
                </c:pt>
                <c:pt idx="2">
                  <c:v>8.8931411854759901</c:v>
                </c:pt>
                <c:pt idx="3">
                  <c:v>8.0931411854759894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'Twitter-mpi'!$AA$16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'Twitter-mpi'!$AB$14:$AE$14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'Twitter-mpi'!$AB$16:$AE$16</c:f>
              <c:numCache>
                <c:formatCode>General</c:formatCode>
                <c:ptCount val="4"/>
                <c:pt idx="2">
                  <c:v>0.10671769422571188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'Twitter-mpi'!$AA$17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'Twitter-mpi'!$AB$14:$AE$14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'Twitter-mpi'!$AB$17:$AE$17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'Twitter-mpi'!$T$20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'Twitter-mpi'!$U$19:$X$19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'Twitter-mpi'!$U$20:$X$20</c:f>
              <c:numCache>
                <c:formatCode>General</c:formatCode>
                <c:ptCount val="4"/>
                <c:pt idx="0">
                  <c:v>1.113103892</c:v>
                </c:pt>
                <c:pt idx="1">
                  <c:v>7.3243236338791</c:v>
                </c:pt>
                <c:pt idx="2">
                  <c:v>14.4845739197384</c:v>
                </c:pt>
                <c:pt idx="3">
                  <c:v>13.4845739197384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'Twitter-mpi'!$T$21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'Twitter-mpi'!$U$19:$X$19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'Twitter-mpi'!$U$21:$X$21</c:f>
              <c:numCache>
                <c:formatCode>General</c:formatCode>
                <c:ptCount val="4"/>
                <c:pt idx="2">
                  <c:v>0.17381488703686079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'Twitter-mpi'!$T$22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'Twitter-mpi'!$U$19:$X$19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'Twitter-mpi'!$U$22:$X$22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'Twitter-mpi'!$AA$20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'Twitter-mpi'!$AB$19:$AE$19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'Twitter-mpi'!$AB$20:$AE$20</c:f>
              <c:numCache>
                <c:formatCode>General</c:formatCode>
                <c:ptCount val="4"/>
                <c:pt idx="0">
                  <c:v>2.7371908610000002</c:v>
                </c:pt>
                <c:pt idx="1">
                  <c:v>15.107339584900901</c:v>
                </c:pt>
                <c:pt idx="2">
                  <c:v>32.260043828104401</c:v>
                </c:pt>
                <c:pt idx="3">
                  <c:v>31.260043828104401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'Twitter-mpi'!$AA$21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'Twitter-mpi'!$AB$19:$AE$19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'Twitter-mpi'!$AB$21:$AE$21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'Twitter-mpi'!$AA$22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'Twitter-mpi'!$AB$19:$AE$19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'Twitter-mpi'!$AB$22:$AE$22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'Twitter-mpi'!$T$25</c:f>
              <c:strCache>
                <c:ptCount val="1"/>
                <c:pt idx="0">
                  <c:v>P8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'Twitter-mpi'!$U$24:$X$24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'Twitter-mpi'!$U$25:$X$25</c:f>
              <c:numCache>
                <c:formatCode>General</c:formatCode>
                <c:ptCount val="4"/>
                <c:pt idx="0">
                  <c:v>1.143434131</c:v>
                </c:pt>
                <c:pt idx="1">
                  <c:v>17.218232991672469</c:v>
                </c:pt>
                <c:pt idx="2">
                  <c:v>27.484903287123299</c:v>
                </c:pt>
                <c:pt idx="3">
                  <c:v>28.484903287123299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'Twitter-mpi'!$T$26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'Twitter-mpi'!$U$24:$X$24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'Twitter-mpi'!$U$26:$X$26</c:f>
              <c:numCache>
                <c:formatCode>General</c:formatCode>
                <c:ptCount val="4"/>
                <c:pt idx="2">
                  <c:v>0.32981883944547957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'Twitter-mpi'!$T$27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'Twitter-mpi'!$U$24:$X$24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'Twitter-mpi'!$U$27:$X$27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'Twitter-mpi'!$AA$25</c:f>
              <c:strCache>
                <c:ptCount val="1"/>
                <c:pt idx="0">
                  <c:v>P9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Check">
                <a:fgClr>
                  <a:srgbClr val="7030A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7-4B48-B992-4F656091756A}"/>
              </c:ext>
            </c:extLst>
          </c:dPt>
          <c:dPt>
            <c:idx val="1"/>
            <c:invertIfNegative val="0"/>
            <c:bubble3D val="0"/>
            <c:spPr>
              <a:pattFill prst="dkHorz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7-4B48-B992-4F656091756A}"/>
              </c:ext>
            </c:extLst>
          </c:dPt>
          <c:dPt>
            <c:idx val="2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7-4B48-B992-4F656091756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7-4B48-B992-4F656091756A}"/>
              </c:ext>
            </c:extLst>
          </c:dPt>
          <c:cat>
            <c:strRef>
              <c:f>'Twitter-mpi'!$AB$24:$AE$24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'Twitter-mpi'!$AB$25:$AE$25</c:f>
              <c:numCache>
                <c:formatCode>General</c:formatCode>
                <c:ptCount val="4"/>
                <c:pt idx="0">
                  <c:v>0.73831079399999999</c:v>
                </c:pt>
                <c:pt idx="1">
                  <c:v>5.3295928769801888</c:v>
                </c:pt>
                <c:pt idx="2">
                  <c:v>14.320260057459</c:v>
                </c:pt>
                <c:pt idx="3">
                  <c:v>12.320260057459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7-4B48-B992-4F656091756A}"/>
            </c:ext>
          </c:extLst>
        </c:ser>
        <c:ser>
          <c:idx val="1"/>
          <c:order val="1"/>
          <c:tx>
            <c:strRef>
              <c:f>'Twitter-mpi'!$AA$26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'Twitter-mpi'!$AB$24:$AE$24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'Twitter-mpi'!$AB$26:$AE$26</c:f>
              <c:numCache>
                <c:formatCode>General</c:formatCode>
                <c:ptCount val="4"/>
                <c:pt idx="2">
                  <c:v>0.17184312068950802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7-4B48-B992-4F656091756A}"/>
            </c:ext>
          </c:extLst>
        </c:ser>
        <c:ser>
          <c:idx val="2"/>
          <c:order val="2"/>
          <c:tx>
            <c:strRef>
              <c:f>'Twitter-mpi'!$AA$27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'Twitter-mpi'!$AB$24:$AE$24</c:f>
              <c:strCache>
                <c:ptCount val="4"/>
                <c:pt idx="0">
                  <c:v>UM</c:v>
                </c:pt>
                <c:pt idx="1">
                  <c:v>ZeroCopy</c:v>
                </c:pt>
                <c:pt idx="2">
                  <c:v>1/32</c:v>
                </c:pt>
                <c:pt idx="3">
                  <c:v>1/64</c:v>
                </c:pt>
              </c:strCache>
            </c:strRef>
          </c:cat>
          <c:val>
            <c:numRef>
              <c:f>'Twitter-mpi'!$AB$27:$AE$27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7-4B48-B992-4F656091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96243760"/>
        <c:axId val="924240240"/>
      </c:barChart>
      <c:catAx>
        <c:axId val="8962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240240"/>
        <c:crosses val="autoZero"/>
        <c:auto val="1"/>
        <c:lblAlgn val="ctr"/>
        <c:lblOffset val="100"/>
        <c:noMultiLvlLbl val="0"/>
      </c:catAx>
      <c:valAx>
        <c:axId val="9242402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prstDash val="sysDot"/>
              <a:miter lim="800000"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10" Type="http://schemas.openxmlformats.org/officeDocument/2006/relationships/chart" Target="../charts/chart37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7" Type="http://schemas.openxmlformats.org/officeDocument/2006/relationships/chart" Target="../charts/chart44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7" Type="http://schemas.openxmlformats.org/officeDocument/2006/relationships/chart" Target="../charts/chart51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1371600</xdr:colOff>
      <xdr:row>19</xdr:row>
      <xdr:rowOff>127000</xdr:rowOff>
    </xdr:from>
    <xdr:to>
      <xdr:col>8</xdr:col>
      <xdr:colOff>977900</xdr:colOff>
      <xdr:row>30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D3FA3A-ABB1-4C21-A528-9777EBBF8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673100</xdr:colOff>
      <xdr:row>2</xdr:row>
      <xdr:rowOff>25400</xdr:rowOff>
    </xdr:from>
    <xdr:to>
      <xdr:col>11</xdr:col>
      <xdr:colOff>749300</xdr:colOff>
      <xdr:row>13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A1516-8F3B-11B9-7639-0A0C216D5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1168400</xdr:colOff>
      <xdr:row>3</xdr:row>
      <xdr:rowOff>76200</xdr:rowOff>
    </xdr:from>
    <xdr:to>
      <xdr:col>17</xdr:col>
      <xdr:colOff>190500</xdr:colOff>
      <xdr:row>14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BE1BF7-AE43-2F44-35FF-CA2A94DFC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406400</xdr:colOff>
      <xdr:row>19</xdr:row>
      <xdr:rowOff>177800</xdr:rowOff>
    </xdr:from>
    <xdr:to>
      <xdr:col>11</xdr:col>
      <xdr:colOff>1308100</xdr:colOff>
      <xdr:row>31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A3E855-3958-50E2-FF09-EF04ABF55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622300</xdr:colOff>
      <xdr:row>5</xdr:row>
      <xdr:rowOff>152400</xdr:rowOff>
    </xdr:from>
    <xdr:to>
      <xdr:col>13</xdr:col>
      <xdr:colOff>330200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13350-0B1C-2386-D8E1-CC6619AA5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692150</xdr:colOff>
      <xdr:row>18</xdr:row>
      <xdr:rowOff>25400</xdr:rowOff>
    </xdr:from>
    <xdr:to>
      <xdr:col>13</xdr:col>
      <xdr:colOff>400050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79CA9-7D76-94D6-75C4-1A6685100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10</xdr:row>
      <xdr:rowOff>152400</xdr:rowOff>
    </xdr:from>
    <xdr:to>
      <xdr:col>14</xdr:col>
      <xdr:colOff>596900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9D1C7-3E38-5263-9265-7D228637E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719913</xdr:colOff>
      <xdr:row>26</xdr:row>
      <xdr:rowOff>144566</xdr:rowOff>
    </xdr:from>
    <xdr:to>
      <xdr:col>13</xdr:col>
      <xdr:colOff>665404</xdr:colOff>
      <xdr:row>37</xdr:row>
      <xdr:rowOff>198683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D07DBA-A12F-9C31-8691-42C6CCD81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660400</xdr:colOff>
      <xdr:row>12</xdr:row>
      <xdr:rowOff>67733</xdr:rowOff>
    </xdr:from>
    <xdr:to>
      <xdr:col>23</xdr:col>
      <xdr:colOff>0</xdr:colOff>
      <xdr:row>25</xdr:row>
      <xdr:rowOff>169333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A853DAF-16B9-4F35-5426-19F906A76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338666</xdr:colOff>
      <xdr:row>12</xdr:row>
      <xdr:rowOff>67733</xdr:rowOff>
    </xdr:from>
    <xdr:to>
      <xdr:col>20</xdr:col>
      <xdr:colOff>372533</xdr:colOff>
      <xdr:row>25</xdr:row>
      <xdr:rowOff>169333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12A29B2-62CC-1EED-9D4C-2926CCD2E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440268</xdr:colOff>
      <xdr:row>11</xdr:row>
      <xdr:rowOff>169333</xdr:rowOff>
    </xdr:from>
    <xdr:to>
      <xdr:col>25</xdr:col>
      <xdr:colOff>609601</xdr:colOff>
      <xdr:row>25</xdr:row>
      <xdr:rowOff>67733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F7A1316-656A-BAF3-73A5-E953DB303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28</xdr:row>
      <xdr:rowOff>16933</xdr:rowOff>
    </xdr:from>
    <xdr:to>
      <xdr:col>18</xdr:col>
      <xdr:colOff>846667</xdr:colOff>
      <xdr:row>41</xdr:row>
      <xdr:rowOff>118533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D768E669-D7B7-4CCA-81C1-222AE6760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28</xdr:row>
      <xdr:rowOff>135467</xdr:rowOff>
    </xdr:from>
    <xdr:to>
      <xdr:col>21</xdr:col>
      <xdr:colOff>84666</xdr:colOff>
      <xdr:row>42</xdr:row>
      <xdr:rowOff>33867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561F8E9-F08E-AF5F-7FCE-539582A66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186267</xdr:colOff>
      <xdr:row>29</xdr:row>
      <xdr:rowOff>0</xdr:rowOff>
    </xdr:from>
    <xdr:to>
      <xdr:col>23</xdr:col>
      <xdr:colOff>355601</xdr:colOff>
      <xdr:row>42</xdr:row>
      <xdr:rowOff>101600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EC35ED4C-F590-2BA9-E85E-7DCE7630A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270933</xdr:colOff>
      <xdr:row>43</xdr:row>
      <xdr:rowOff>101600</xdr:rowOff>
    </xdr:from>
    <xdr:to>
      <xdr:col>19</xdr:col>
      <xdr:colOff>237067</xdr:colOff>
      <xdr:row>57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9B70A90-89FA-67C5-E298-5127AD803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626534</xdr:colOff>
      <xdr:row>45</xdr:row>
      <xdr:rowOff>0</xdr:rowOff>
    </xdr:from>
    <xdr:to>
      <xdr:col>21</xdr:col>
      <xdr:colOff>711200</xdr:colOff>
      <xdr:row>58</xdr:row>
      <xdr:rowOff>101600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4EB4CDC1-907A-4E19-1A25-876B0F2C9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45</xdr:row>
      <xdr:rowOff>101600</xdr:rowOff>
    </xdr:from>
    <xdr:to>
      <xdr:col>24</xdr:col>
      <xdr:colOff>169333</xdr:colOff>
      <xdr:row>59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1B672F0-F3FA-7055-72F9-A10379D4F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0.66171</cdr:x>
      <cdr:y>0.09036</cdr:y>
    </cdr:from>
    <cdr:to>
      <cdr:x>0.73347</cdr:x>
      <cdr:y>0.37059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953FCFF-303F-7823-5A0D-AB7E42348101}"/>
            </a:ext>
          </a:extLst>
        </cdr:cNvPr>
        <cdr:cNvSpPr/>
      </cdr:nvSpPr>
      <cdr:spPr>
        <a:xfrm xmlns:a="http://schemas.openxmlformats.org/drawingml/2006/main">
          <a:off x="3631926" y="205382"/>
          <a:ext cx="393863" cy="6369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lIns="0" tIns="0" rIns="0" bIns="0"/>
        <a:lstStyle xmlns:a="http://schemas.openxmlformats.org/drawingml/2006/main"/>
        <a:p xmlns:a="http://schemas.openxmlformats.org/drawingml/2006/main">
          <a:r>
            <a:rPr lang="en-US" sz="1000"/>
            <a:t>35.3</a:t>
          </a:r>
        </a:p>
        <a:p xmlns:a="http://schemas.openxmlformats.org/drawingml/2006/main">
          <a:r>
            <a:rPr lang="en-US" sz="1000"/>
            <a:t>47.5</a:t>
          </a:r>
        </a:p>
        <a:p xmlns:a="http://schemas.openxmlformats.org/drawingml/2006/main">
          <a:r>
            <a:rPr lang="en-US" sz="1000"/>
            <a:t>47.9</a:t>
          </a:r>
        </a:p>
        <a:p xmlns:a="http://schemas.openxmlformats.org/drawingml/2006/main">
          <a:endParaRPr lang="en-US" sz="1000"/>
        </a:p>
        <a:p xmlns:a="http://schemas.openxmlformats.org/drawingml/2006/main">
          <a:endParaRPr lang="en-US" sz="10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31</xdr:row>
      <xdr:rowOff>0</xdr:rowOff>
    </xdr:from>
    <xdr:to>
      <xdr:col>11</xdr:col>
      <xdr:colOff>0</xdr:colOff>
      <xdr:row>42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02080-D874-030A-5C97-19D109913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0</xdr:row>
      <xdr:rowOff>50800</xdr:rowOff>
    </xdr:from>
    <xdr:to>
      <xdr:col>17</xdr:col>
      <xdr:colOff>50800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848E1-68D8-0A24-EAC9-DD4D9455B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524933</xdr:colOff>
      <xdr:row>1</xdr:row>
      <xdr:rowOff>0</xdr:rowOff>
    </xdr:from>
    <xdr:to>
      <xdr:col>19</xdr:col>
      <xdr:colOff>694267</xdr:colOff>
      <xdr:row>14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BB83AB-D7A2-F407-5923-5564AE90A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660400</xdr:colOff>
      <xdr:row>1</xdr:row>
      <xdr:rowOff>101600</xdr:rowOff>
    </xdr:from>
    <xdr:to>
      <xdr:col>23</xdr:col>
      <xdr:colOff>0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A98447-F41D-1401-A9DD-01AB34B93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18</xdr:row>
      <xdr:rowOff>50800</xdr:rowOff>
    </xdr:from>
    <xdr:to>
      <xdr:col>17</xdr:col>
      <xdr:colOff>50800</xdr:colOff>
      <xdr:row>31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473DC8-1D5E-17A3-1285-E52D13E47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20</xdr:col>
      <xdr:colOff>169333</xdr:colOff>
      <xdr:row>31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ADACFB-D747-D812-DB72-F2ED3FD22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541867</xdr:colOff>
      <xdr:row>17</xdr:row>
      <xdr:rowOff>169333</xdr:rowOff>
    </xdr:from>
    <xdr:to>
      <xdr:col>22</xdr:col>
      <xdr:colOff>711201</xdr:colOff>
      <xdr:row>31</xdr:row>
      <xdr:rowOff>67733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288D18-472F-BFFB-86D8-E146EB4C0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677334</xdr:colOff>
      <xdr:row>34</xdr:row>
      <xdr:rowOff>0</xdr:rowOff>
    </xdr:from>
    <xdr:to>
      <xdr:col>16</xdr:col>
      <xdr:colOff>846667</xdr:colOff>
      <xdr:row>47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A49A65-846E-492A-70A3-889C0FE35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777785</xdr:colOff>
      <xdr:row>33</xdr:row>
      <xdr:rowOff>92128</xdr:rowOff>
    </xdr:from>
    <xdr:to>
      <xdr:col>20</xdr:col>
      <xdr:colOff>129152</xdr:colOff>
      <xdr:row>47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F8B06C6-0870-EA2A-37E3-3942E21A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0</xdr:colOff>
      <xdr:row>35</xdr:row>
      <xdr:rowOff>67733</xdr:rowOff>
    </xdr:from>
    <xdr:to>
      <xdr:col>23</xdr:col>
      <xdr:colOff>169333</xdr:colOff>
      <xdr:row>48</xdr:row>
      <xdr:rowOff>169333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F33C6E-4219-1C07-B621-D429FBE3C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0.64815</cdr:x>
      <cdr:y>0.11111</cdr:y>
    </cdr:from>
    <cdr:to>
      <cdr:x>0.75694</cdr:x>
      <cdr:y>0.52778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E9427BE-BDBC-3290-4DA1-8A39C54563A7}"/>
            </a:ext>
          </a:extLst>
        </cdr:cNvPr>
        <cdr:cNvSpPr/>
      </cdr:nvSpPr>
      <cdr:spPr>
        <a:xfrm xmlns:a="http://schemas.openxmlformats.org/drawingml/2006/main">
          <a:off x="3556000" y="254000"/>
          <a:ext cx="596900" cy="952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/>
        <a:lstStyle xmlns:a="http://schemas.openxmlformats.org/drawingml/2006/main"/>
        <a:p xmlns:a="http://schemas.openxmlformats.org/drawingml/2006/main">
          <a:r>
            <a:rPr lang="en-US"/>
            <a:t>51.05</a:t>
          </a:r>
        </a:p>
        <a:p xmlns:a="http://schemas.openxmlformats.org/drawingml/2006/main">
          <a:r>
            <a:rPr lang="en-US"/>
            <a:t>48.05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558800</xdr:colOff>
      <xdr:row>26</xdr:row>
      <xdr:rowOff>12700</xdr:rowOff>
    </xdr:from>
    <xdr:to>
      <xdr:col>13</xdr:col>
      <xdr:colOff>685800</xdr:colOff>
      <xdr:row>37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A06E6-F894-7DEC-55D8-2B5DDA8BA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414867</xdr:colOff>
      <xdr:row>34</xdr:row>
      <xdr:rowOff>110067</xdr:rowOff>
    </xdr:from>
    <xdr:to>
      <xdr:col>17</xdr:col>
      <xdr:colOff>482600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DE6E6-A5A6-D1DD-32BA-56BA9FBD7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660400</xdr:colOff>
      <xdr:row>34</xdr:row>
      <xdr:rowOff>101600</xdr:rowOff>
    </xdr:from>
    <xdr:to>
      <xdr:col>20</xdr:col>
      <xdr:colOff>812800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FF1EFE-AEE7-A29D-B689-E3E4FC6FB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34</xdr:row>
      <xdr:rowOff>101600</xdr:rowOff>
    </xdr:from>
    <xdr:to>
      <xdr:col>24</xdr:col>
      <xdr:colOff>152400</xdr:colOff>
      <xdr:row>48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B4DD4F-ACC5-5C64-B0F1-3774CB644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279400</xdr:colOff>
      <xdr:row>50</xdr:row>
      <xdr:rowOff>25400</xdr:rowOff>
    </xdr:from>
    <xdr:to>
      <xdr:col>17</xdr:col>
      <xdr:colOff>330200</xdr:colOff>
      <xdr:row>63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C0B1A2-25B1-1861-F637-A96E37F6E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152400</xdr:colOff>
      <xdr:row>50</xdr:row>
      <xdr:rowOff>25400</xdr:rowOff>
    </xdr:from>
    <xdr:to>
      <xdr:col>20</xdr:col>
      <xdr:colOff>304800</xdr:colOff>
      <xdr:row>63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B59BEB-72F6-D5AD-ECD4-C57DC6D3E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685800</xdr:colOff>
      <xdr:row>49</xdr:row>
      <xdr:rowOff>101600</xdr:rowOff>
    </xdr:from>
    <xdr:to>
      <xdr:col>24</xdr:col>
      <xdr:colOff>0</xdr:colOff>
      <xdr:row>63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C5A84-6B91-145F-749F-BAAE144E4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482600</xdr:colOff>
      <xdr:row>66</xdr:row>
      <xdr:rowOff>76200</xdr:rowOff>
    </xdr:from>
    <xdr:to>
      <xdr:col>17</xdr:col>
      <xdr:colOff>533400</xdr:colOff>
      <xdr:row>79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0076E4-8997-92DF-B82F-A40FB2EDB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635000</xdr:colOff>
      <xdr:row>66</xdr:row>
      <xdr:rowOff>101600</xdr:rowOff>
    </xdr:from>
    <xdr:to>
      <xdr:col>20</xdr:col>
      <xdr:colOff>787400</xdr:colOff>
      <xdr:row>80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2BED95-3B28-66D0-592A-F6B4DCCBD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812800</xdr:colOff>
      <xdr:row>67</xdr:row>
      <xdr:rowOff>101600</xdr:rowOff>
    </xdr:from>
    <xdr:to>
      <xdr:col>24</xdr:col>
      <xdr:colOff>127000</xdr:colOff>
      <xdr:row>81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2CC0CD-944E-088E-8FA4-363C51E0F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0.64583</cdr:x>
      <cdr:y>0.11667</cdr:y>
    </cdr:from>
    <cdr:to>
      <cdr:x>0.75231</cdr:x>
      <cdr:y>0.46111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5755464-BD7E-3222-CEFA-9FB817BC91D7}"/>
            </a:ext>
          </a:extLst>
        </cdr:cNvPr>
        <cdr:cNvSpPr/>
      </cdr:nvSpPr>
      <cdr:spPr>
        <a:xfrm xmlns:a="http://schemas.openxmlformats.org/drawingml/2006/main">
          <a:off x="3543300" y="266700"/>
          <a:ext cx="584200" cy="787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50.8</a:t>
          </a:r>
        </a:p>
        <a:p xmlns:a="http://schemas.openxmlformats.org/drawingml/2006/main">
          <a:r>
            <a:rPr lang="en-US"/>
            <a:t>51.8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0</xdr:rowOff>
    </xdr:from>
    <xdr:to>
      <xdr:col>15</xdr:col>
      <xdr:colOff>88900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00035-4E0D-5740-CD09-5040DC011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692728</xdr:colOff>
      <xdr:row>6</xdr:row>
      <xdr:rowOff>186458</xdr:rowOff>
    </xdr:from>
    <xdr:to>
      <xdr:col>18</xdr:col>
      <xdr:colOff>53687</xdr:colOff>
      <xdr:row>20</xdr:row>
      <xdr:rowOff>101022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E85C6-AA6C-AB2B-23E7-71E9D2E1B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422564</xdr:colOff>
      <xdr:row>2</xdr:row>
      <xdr:rowOff>158750</xdr:rowOff>
    </xdr:from>
    <xdr:to>
      <xdr:col>19</xdr:col>
      <xdr:colOff>606137</xdr:colOff>
      <xdr:row>16</xdr:row>
      <xdr:rowOff>73314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7F1E00-8794-4F6C-8A2F-ACAB31FA7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18</xdr:row>
      <xdr:rowOff>56573</xdr:rowOff>
    </xdr:from>
    <xdr:to>
      <xdr:col>17</xdr:col>
      <xdr:colOff>183572</xdr:colOff>
      <xdr:row>31</xdr:row>
      <xdr:rowOff>173182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195937-DBCE-71B9-6D6F-2B6C3C7CD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595746</xdr:colOff>
      <xdr:row>18</xdr:row>
      <xdr:rowOff>0</xdr:rowOff>
    </xdr:from>
    <xdr:to>
      <xdr:col>19</xdr:col>
      <xdr:colOff>779319</xdr:colOff>
      <xdr:row>31</xdr:row>
      <xdr:rowOff>116609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D61292-23E4-3C25-7A09-B0DDE21B5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33</xdr:row>
      <xdr:rowOff>0</xdr:rowOff>
    </xdr:from>
    <xdr:to>
      <xdr:col>17</xdr:col>
      <xdr:colOff>183572</xdr:colOff>
      <xdr:row>46</xdr:row>
      <xdr:rowOff>116609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EFEB34-20F1-74FF-4217-141EBDA39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649431</xdr:colOff>
      <xdr:row>32</xdr:row>
      <xdr:rowOff>187613</xdr:rowOff>
    </xdr:from>
    <xdr:to>
      <xdr:col>20</xdr:col>
      <xdr:colOff>10390</xdr:colOff>
      <xdr:row>46</xdr:row>
      <xdr:rowOff>102177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FFC6AD-BD3E-A3CF-5F10-B681DC4A5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0.64583</cdr:x>
      <cdr:y>0.10556</cdr:y>
    </cdr:from>
    <cdr:to>
      <cdr:x>0.73611</cdr:x>
      <cdr:y>0.36111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7EF3FC4-A72F-FC46-2196-59D6DB644FAD}"/>
            </a:ext>
          </a:extLst>
        </cdr:cNvPr>
        <cdr:cNvSpPr/>
      </cdr:nvSpPr>
      <cdr:spPr>
        <a:xfrm xmlns:a="http://schemas.openxmlformats.org/drawingml/2006/main">
          <a:off x="3543300" y="241300"/>
          <a:ext cx="495300" cy="584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/>
        <a:lstStyle xmlns:a="http://schemas.openxmlformats.org/drawingml/2006/main"/>
        <a:p xmlns:a="http://schemas.openxmlformats.org/drawingml/2006/main">
          <a:r>
            <a:rPr lang="en-US"/>
            <a:t>27.2</a:t>
          </a:r>
        </a:p>
        <a:p xmlns:a="http://schemas.openxmlformats.org/drawingml/2006/main">
          <a:r>
            <a:rPr lang="en-US"/>
            <a:t>25.2</a:t>
          </a:r>
        </a:p>
      </cdr:txBody>
    </cdr:sp>
  </cdr:relSizeAnchor>
  <cdr:relSizeAnchor xmlns:cdr="http://schemas.openxmlformats.org/drawingml/2006/chartDrawing">
    <cdr:from>
      <cdr:x>0.78472</cdr:x>
      <cdr:y>0.1</cdr:y>
    </cdr:from>
    <cdr:to>
      <cdr:x>0.87269</cdr:x>
      <cdr:y>0.31667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672A17B-E147-95FB-EB47-7BCB24730B45}"/>
            </a:ext>
          </a:extLst>
        </cdr:cNvPr>
        <cdr:cNvSpPr/>
      </cdr:nvSpPr>
      <cdr:spPr>
        <a:xfrm xmlns:a="http://schemas.openxmlformats.org/drawingml/2006/main">
          <a:off x="4305300" y="228600"/>
          <a:ext cx="482600" cy="495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53.5</a:t>
          </a:r>
        </a:p>
        <a:p xmlns:a="http://schemas.openxmlformats.org/drawingml/2006/main">
          <a:r>
            <a:rPr lang="en-US"/>
            <a:t>54.5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660400</xdr:colOff>
      <xdr:row>13</xdr:row>
      <xdr:rowOff>12700</xdr:rowOff>
    </xdr:from>
    <xdr:to>
      <xdr:col>13</xdr:col>
      <xdr:colOff>368300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D3FEE-EFBF-075B-0B50-4A12D3852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139700</xdr:colOff>
      <xdr:row>1</xdr:row>
      <xdr:rowOff>0</xdr:rowOff>
    </xdr:from>
    <xdr:to>
      <xdr:col>18</xdr:col>
      <xdr:colOff>317500</xdr:colOff>
      <xdr:row>14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CC3025-AA03-D475-EAA1-7B2BA1DBB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647700</xdr:colOff>
      <xdr:row>7</xdr:row>
      <xdr:rowOff>0</xdr:rowOff>
    </xdr:from>
    <xdr:to>
      <xdr:col>25</xdr:col>
      <xdr:colOff>0</xdr:colOff>
      <xdr:row>20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3E62E0-1FC3-D49A-9B5F-66255BC91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342900</xdr:colOff>
      <xdr:row>15</xdr:row>
      <xdr:rowOff>101600</xdr:rowOff>
    </xdr:from>
    <xdr:to>
      <xdr:col>16</xdr:col>
      <xdr:colOff>520700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549B29-F6A5-322F-7D6F-5850108ED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266700</xdr:colOff>
      <xdr:row>15</xdr:row>
      <xdr:rowOff>101600</xdr:rowOff>
    </xdr:from>
    <xdr:to>
      <xdr:col>18</xdr:col>
      <xdr:colOff>444500</xdr:colOff>
      <xdr:row>29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E69619-0123-125C-1C0E-0C8429A96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279400</xdr:colOff>
      <xdr:row>30</xdr:row>
      <xdr:rowOff>0</xdr:rowOff>
    </xdr:from>
    <xdr:to>
      <xdr:col>16</xdr:col>
      <xdr:colOff>457200</xdr:colOff>
      <xdr:row>43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527651-B600-F7E3-D5E4-B53B9EEEA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165100</xdr:colOff>
      <xdr:row>32</xdr:row>
      <xdr:rowOff>0</xdr:rowOff>
    </xdr:from>
    <xdr:to>
      <xdr:col>19</xdr:col>
      <xdr:colOff>342900</xdr:colOff>
      <xdr:row>45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B2E4F9-CA1D-762E-E840-66669F696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0.65972</cdr:x>
      <cdr:y>0.10684</cdr:y>
    </cdr:from>
    <cdr:to>
      <cdr:x>0.74306</cdr:x>
      <cdr:y>0.33654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5C69363-54EC-8DF1-F88B-17FC465E8ED3}"/>
            </a:ext>
          </a:extLst>
        </cdr:cNvPr>
        <cdr:cNvSpPr/>
      </cdr:nvSpPr>
      <cdr:spPr>
        <a:xfrm xmlns:a="http://schemas.openxmlformats.org/drawingml/2006/main">
          <a:off x="3619500" y="254000"/>
          <a:ext cx="457200" cy="546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lIns="0" tIns="0" rIns="0" bIns="0"/>
        <a:lstStyle xmlns:a="http://schemas.openxmlformats.org/drawingml/2006/main"/>
        <a:p xmlns:a="http://schemas.openxmlformats.org/drawingml/2006/main">
          <a:r>
            <a:rPr lang="en-US"/>
            <a:t>32.2</a:t>
          </a:r>
        </a:p>
        <a:p xmlns:a="http://schemas.openxmlformats.org/drawingml/2006/main">
          <a:r>
            <a:rPr lang="en-US"/>
            <a:t>31.6</a:t>
          </a:r>
        </a:p>
      </cdr:txBody>
    </cdr:sp>
  </cdr:relSizeAnchor>
  <cdr:relSizeAnchor xmlns:cdr="http://schemas.openxmlformats.org/drawingml/2006/chartDrawing">
    <cdr:from>
      <cdr:x>0.79861</cdr:x>
      <cdr:y>0.13889</cdr:y>
    </cdr:from>
    <cdr:to>
      <cdr:x>0.88426</cdr:x>
      <cdr:y>0.35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6AD556C-8244-1914-C826-DD64EF27EA0F}"/>
            </a:ext>
          </a:extLst>
        </cdr:cNvPr>
        <cdr:cNvSpPr/>
      </cdr:nvSpPr>
      <cdr:spPr>
        <a:xfrm xmlns:a="http://schemas.openxmlformats.org/drawingml/2006/main">
          <a:off x="4381500" y="317500"/>
          <a:ext cx="469900" cy="482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lIns="0" tIns="0" rIns="0" bIns="0"/>
        <a:lstStyle xmlns:a="http://schemas.openxmlformats.org/drawingml/2006/main"/>
        <a:p xmlns:a="http://schemas.openxmlformats.org/drawingml/2006/main">
          <a:r>
            <a:rPr lang="en-US"/>
            <a:t>27.4</a:t>
          </a:r>
        </a:p>
        <a:p xmlns:a="http://schemas.openxmlformats.org/drawingml/2006/main">
          <a:r>
            <a:rPr lang="en-US"/>
            <a:t>28.4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989E-7654-5049-8F4C-E54217F06CBC}">
  <dimension ref="A1:M43"/>
  <sheetViews>
    <sheetView topLeftCell="A9" workbookViewId="0">
      <selection activeCell="A10" sqref="A10:F16"/>
    </sheetView>
  </sheetViews>
  <sheetFormatPr baseColWidth="10" defaultRowHeight="16" x14ac:dyDescent="0.2"/>
  <cols>
    <col min="2" max="3" width="17.6640625" customWidth="1"/>
    <col min="4" max="4" width="18.5" customWidth="1"/>
    <col min="5" max="5" width="16.33203125" customWidth="1"/>
    <col min="6" max="6" width="20.6640625" customWidth="1"/>
    <col min="9" max="9" width="14.6640625" customWidth="1"/>
    <col min="10" max="10" width="17" customWidth="1"/>
    <col min="11" max="11" width="17.6640625" customWidth="1"/>
    <col min="12" max="12" width="21.83203125" customWidth="1"/>
    <col min="13" max="13" width="19.6640625" customWidth="1"/>
  </cols>
  <sheetData>
    <row r="1" spans="1:6" x14ac:dyDescent="0.2">
      <c r="B1" t="s">
        <v>12</v>
      </c>
      <c r="C1" t="s">
        <v>58</v>
      </c>
      <c r="D1" t="s">
        <v>14</v>
      </c>
      <c r="E1" t="s">
        <v>15</v>
      </c>
      <c r="F1" t="s">
        <v>16</v>
      </c>
    </row>
    <row r="2" spans="1:6" x14ac:dyDescent="0.2">
      <c r="A2" t="s">
        <v>0</v>
      </c>
      <c r="B2">
        <v>0.95195099999999999</v>
      </c>
      <c r="C2">
        <v>0.97958400000000001</v>
      </c>
      <c r="D2">
        <v>0.90680400000000005</v>
      </c>
      <c r="E2" s="4">
        <v>0.88459600000000005</v>
      </c>
      <c r="F2">
        <v>0.91709797000000004</v>
      </c>
    </row>
    <row r="3" spans="1:6" x14ac:dyDescent="0.2">
      <c r="A3" t="s">
        <v>1</v>
      </c>
      <c r="B3">
        <v>0.90280800000000005</v>
      </c>
      <c r="C3">
        <v>0.92138200000000003</v>
      </c>
      <c r="D3">
        <v>0.96277100000000004</v>
      </c>
      <c r="E3" s="4">
        <v>0.91156700000000002</v>
      </c>
      <c r="F3">
        <v>0.95277100000000003</v>
      </c>
    </row>
    <row r="4" spans="1:6" x14ac:dyDescent="0.2">
      <c r="A4" t="s">
        <v>2</v>
      </c>
      <c r="B4">
        <v>0.89422199999999996</v>
      </c>
      <c r="C4">
        <v>0.85493300000000005</v>
      </c>
      <c r="D4">
        <v>0.64088299999999998</v>
      </c>
      <c r="E4" s="4">
        <v>0.87326000000000004</v>
      </c>
      <c r="F4">
        <v>0.69088300000000002</v>
      </c>
    </row>
    <row r="5" spans="1:6" x14ac:dyDescent="0.2">
      <c r="A5" t="s">
        <v>3</v>
      </c>
      <c r="B5">
        <v>0.99856100000000003</v>
      </c>
      <c r="C5">
        <v>0.76303100000000001</v>
      </c>
      <c r="D5">
        <v>0.97504299999999999</v>
      </c>
      <c r="E5" s="4">
        <v>1</v>
      </c>
      <c r="F5">
        <v>0.985043</v>
      </c>
    </row>
    <row r="6" spans="1:6" x14ac:dyDescent="0.2">
      <c r="A6" t="s">
        <v>4</v>
      </c>
      <c r="B6">
        <v>0.91041399999999995</v>
      </c>
      <c r="C6">
        <v>0.95035000000000003</v>
      </c>
      <c r="D6">
        <v>0.96894800000000003</v>
      </c>
      <c r="E6" s="4">
        <v>0.82418000000000002</v>
      </c>
      <c r="F6">
        <v>0.928948</v>
      </c>
    </row>
    <row r="7" spans="1:6" x14ac:dyDescent="0.2">
      <c r="A7" t="s">
        <v>5</v>
      </c>
      <c r="B7">
        <v>1</v>
      </c>
      <c r="C7">
        <v>0.95035000000000003</v>
      </c>
      <c r="D7">
        <v>0.89034999999999997</v>
      </c>
      <c r="E7" s="4">
        <v>0.85313899999999998</v>
      </c>
      <c r="F7">
        <v>0.91034999999999999</v>
      </c>
    </row>
    <row r="10" spans="1:6" x14ac:dyDescent="0.2">
      <c r="B10" t="s">
        <v>12</v>
      </c>
      <c r="C10" t="s">
        <v>58</v>
      </c>
      <c r="D10" t="s">
        <v>14</v>
      </c>
      <c r="E10" t="s">
        <v>15</v>
      </c>
      <c r="F10" t="s">
        <v>16</v>
      </c>
    </row>
    <row r="11" spans="1:6" x14ac:dyDescent="0.2">
      <c r="A11" t="s">
        <v>0</v>
      </c>
      <c r="B11">
        <v>0.78764100000000004</v>
      </c>
      <c r="C11">
        <v>0.87958400000000003</v>
      </c>
      <c r="D11">
        <v>0.89680400000000005</v>
      </c>
      <c r="E11">
        <v>0.85036619999999996</v>
      </c>
      <c r="F11">
        <v>0.90792699030000001</v>
      </c>
    </row>
    <row r="12" spans="1:6" x14ac:dyDescent="0.2">
      <c r="A12" t="s">
        <v>1</v>
      </c>
      <c r="B12">
        <v>0.664655</v>
      </c>
      <c r="C12">
        <v>0.86138199999999998</v>
      </c>
      <c r="D12">
        <v>0.96277100000000004</v>
      </c>
      <c r="E12">
        <v>0.87598865000000004</v>
      </c>
      <c r="F12">
        <v>0.93324328999999995</v>
      </c>
    </row>
    <row r="13" spans="1:6" x14ac:dyDescent="0.2">
      <c r="A13" t="s">
        <v>2</v>
      </c>
      <c r="B13">
        <v>0.98155899999999996</v>
      </c>
      <c r="C13">
        <v>0.75493299999999997</v>
      </c>
      <c r="D13">
        <v>0.64088299999999998</v>
      </c>
      <c r="E13">
        <v>0.82959700000000003</v>
      </c>
      <c r="F13">
        <v>0.67397417000000004</v>
      </c>
    </row>
    <row r="14" spans="1:6" x14ac:dyDescent="0.2">
      <c r="A14" t="s">
        <v>3</v>
      </c>
      <c r="B14">
        <v>0.638015</v>
      </c>
      <c r="C14">
        <v>0.743031</v>
      </c>
      <c r="D14">
        <v>0.93504299999999996</v>
      </c>
      <c r="E14">
        <v>0.95</v>
      </c>
      <c r="F14">
        <v>0.96519257000000003</v>
      </c>
    </row>
    <row r="15" spans="1:6" x14ac:dyDescent="0.2">
      <c r="A15" t="s">
        <v>4</v>
      </c>
      <c r="B15">
        <v>0.720974</v>
      </c>
      <c r="C15">
        <v>0.95035000000000003</v>
      </c>
      <c r="D15">
        <v>0.91894799999999999</v>
      </c>
      <c r="E15" s="4">
        <v>0.82418000000000002</v>
      </c>
      <c r="F15">
        <v>0.91965852000000003</v>
      </c>
    </row>
    <row r="16" spans="1:6" x14ac:dyDescent="0.2">
      <c r="A16" t="s">
        <v>5</v>
      </c>
      <c r="B16">
        <v>0.96551399999999998</v>
      </c>
      <c r="C16">
        <v>0.95035000000000003</v>
      </c>
      <c r="D16">
        <v>0.87034999999999996</v>
      </c>
      <c r="E16" s="4">
        <v>0.85313899999999998</v>
      </c>
      <c r="F16">
        <v>0.90124649999999995</v>
      </c>
    </row>
    <row r="19" spans="1:13" x14ac:dyDescent="0.2">
      <c r="B19" t="s">
        <v>12</v>
      </c>
      <c r="C19" t="s">
        <v>58</v>
      </c>
      <c r="D19" t="s">
        <v>63</v>
      </c>
      <c r="E19" t="s">
        <v>15</v>
      </c>
      <c r="F19" t="s">
        <v>64</v>
      </c>
      <c r="I19" t="s">
        <v>12</v>
      </c>
      <c r="J19" t="s">
        <v>13</v>
      </c>
      <c r="K19" t="s">
        <v>14</v>
      </c>
      <c r="L19" t="s">
        <v>15</v>
      </c>
      <c r="M19" t="s">
        <v>16</v>
      </c>
    </row>
    <row r="20" spans="1:13" x14ac:dyDescent="0.2">
      <c r="A20" t="s">
        <v>0</v>
      </c>
      <c r="B20">
        <v>2.8579999999999999E-3</v>
      </c>
      <c r="C20">
        <v>1.7950000000000001E-2</v>
      </c>
      <c r="D20">
        <v>7.6540000000000002E-3</v>
      </c>
      <c r="E20">
        <v>2.7949999999999999E-2</v>
      </c>
      <c r="F20">
        <v>3.6640000000000002E-3</v>
      </c>
      <c r="H20" t="s">
        <v>0</v>
      </c>
      <c r="I20">
        <f>B$28*B20*1000</f>
        <v>82.596199999999996</v>
      </c>
      <c r="J20">
        <f t="shared" ref="J20:K25" si="0">C$28*C20*1000</f>
        <v>561.83500000000004</v>
      </c>
      <c r="K20">
        <f t="shared" si="0"/>
        <v>355.1456</v>
      </c>
      <c r="L20">
        <f>E$28*E20*1000</f>
        <v>1908.9849999999999</v>
      </c>
      <c r="M20">
        <f t="shared" ref="M20:M25" si="1">F$28*F20*1000</f>
        <v>553.63040000000001</v>
      </c>
    </row>
    <row r="21" spans="1:13" x14ac:dyDescent="0.2">
      <c r="A21" t="s">
        <v>1</v>
      </c>
      <c r="B21">
        <v>7.8609999999999999E-3</v>
      </c>
      <c r="C21">
        <v>4.5305999999999999E-2</v>
      </c>
      <c r="D21">
        <v>2.1496000000000001E-2</v>
      </c>
      <c r="E21">
        <v>3.5305999999999997E-2</v>
      </c>
      <c r="F21">
        <v>1.3351E-2</v>
      </c>
      <c r="H21" t="s">
        <v>1</v>
      </c>
      <c r="I21">
        <f t="shared" ref="I21:I25" si="2">B$28*B21*1000</f>
        <v>227.18289999999999</v>
      </c>
      <c r="J21">
        <f t="shared" si="0"/>
        <v>1418.0778</v>
      </c>
      <c r="K21">
        <f t="shared" si="0"/>
        <v>997.4144</v>
      </c>
      <c r="L21">
        <f t="shared" ref="L21:L25" si="3">E$28*E21*1000</f>
        <v>2411.3997999999997</v>
      </c>
      <c r="M21">
        <f t="shared" si="1"/>
        <v>2017.3361</v>
      </c>
    </row>
    <row r="22" spans="1:13" x14ac:dyDescent="0.2">
      <c r="A22" t="s">
        <v>2</v>
      </c>
      <c r="B22">
        <v>6.5789999999999998E-3</v>
      </c>
      <c r="C22">
        <v>1.3390000000000001E-2</v>
      </c>
      <c r="D22">
        <v>9.5689999999999994E-3</v>
      </c>
      <c r="E22">
        <v>2.3390000000000001E-2</v>
      </c>
      <c r="F22">
        <v>1.1487000000000001E-2</v>
      </c>
      <c r="H22" t="s">
        <v>2</v>
      </c>
      <c r="I22">
        <f t="shared" si="2"/>
        <v>190.13309999999998</v>
      </c>
      <c r="J22">
        <f t="shared" si="0"/>
        <v>419.10700000000008</v>
      </c>
      <c r="K22">
        <f t="shared" si="0"/>
        <v>444.00159999999994</v>
      </c>
      <c r="L22">
        <f t="shared" si="3"/>
        <v>1597.537</v>
      </c>
      <c r="M22">
        <f t="shared" si="1"/>
        <v>1735.6857</v>
      </c>
    </row>
    <row r="23" spans="1:13" x14ac:dyDescent="0.2">
      <c r="A23" t="s">
        <v>3</v>
      </c>
      <c r="B23">
        <v>5.5199999999999997E-4</v>
      </c>
      <c r="C23">
        <v>2.7759999999999998E-3</v>
      </c>
      <c r="D23">
        <v>9.4710000000000003E-3</v>
      </c>
      <c r="E23">
        <v>1.776E-3</v>
      </c>
      <c r="F23">
        <v>1.0369999999999999E-3</v>
      </c>
      <c r="H23" t="s">
        <v>3</v>
      </c>
      <c r="I23">
        <f t="shared" si="2"/>
        <v>15.9528</v>
      </c>
      <c r="J23">
        <f t="shared" si="0"/>
        <v>86.888800000000003</v>
      </c>
      <c r="K23">
        <f t="shared" si="0"/>
        <v>439.45440000000002</v>
      </c>
      <c r="L23">
        <f t="shared" si="3"/>
        <v>121.3008</v>
      </c>
      <c r="M23">
        <f t="shared" si="1"/>
        <v>156.69069999999999</v>
      </c>
    </row>
    <row r="24" spans="1:13" x14ac:dyDescent="0.2">
      <c r="A24" t="s">
        <v>4</v>
      </c>
      <c r="B24">
        <v>2.41E-4</v>
      </c>
      <c r="C24">
        <v>3.4600000000000001E-4</v>
      </c>
      <c r="D24">
        <v>7.6599999999999997E-4</v>
      </c>
      <c r="E24">
        <v>1.46E-4</v>
      </c>
      <c r="F24">
        <v>4.8799999999999999E-4</v>
      </c>
      <c r="H24" t="s">
        <v>4</v>
      </c>
      <c r="I24">
        <f t="shared" si="2"/>
        <v>6.9648999999999992</v>
      </c>
      <c r="J24">
        <f t="shared" si="0"/>
        <v>10.829800000000001</v>
      </c>
      <c r="K24">
        <f t="shared" si="0"/>
        <v>35.542399999999994</v>
      </c>
      <c r="L24">
        <f t="shared" si="3"/>
        <v>9.9718</v>
      </c>
      <c r="M24">
        <f t="shared" si="1"/>
        <v>73.736799999999988</v>
      </c>
    </row>
    <row r="25" spans="1:13" x14ac:dyDescent="0.2">
      <c r="A25" t="s">
        <v>5</v>
      </c>
      <c r="B25">
        <v>8.1000000000000004E-5</v>
      </c>
      <c r="C25">
        <v>3.2499999999999999E-4</v>
      </c>
      <c r="D25">
        <v>1.34E-4</v>
      </c>
      <c r="E25">
        <v>1.25E-4</v>
      </c>
      <c r="F25">
        <v>2.34E-4</v>
      </c>
      <c r="H25" t="s">
        <v>5</v>
      </c>
      <c r="I25">
        <f t="shared" si="2"/>
        <v>2.3409</v>
      </c>
      <c r="J25">
        <f t="shared" si="0"/>
        <v>10.172499999999999</v>
      </c>
      <c r="K25">
        <f t="shared" si="0"/>
        <v>6.2176</v>
      </c>
      <c r="L25">
        <f t="shared" si="3"/>
        <v>8.5374999999999996</v>
      </c>
      <c r="M25">
        <f t="shared" si="1"/>
        <v>35.357399999999998</v>
      </c>
    </row>
    <row r="27" spans="1:13" x14ac:dyDescent="0.2">
      <c r="B27" t="s">
        <v>12</v>
      </c>
      <c r="C27" t="s">
        <v>13</v>
      </c>
      <c r="D27" t="s">
        <v>14</v>
      </c>
      <c r="E27" t="s">
        <v>15</v>
      </c>
      <c r="F27" t="s">
        <v>16</v>
      </c>
    </row>
    <row r="28" spans="1:13" x14ac:dyDescent="0.2">
      <c r="B28">
        <v>28.9</v>
      </c>
      <c r="C28">
        <v>31.3</v>
      </c>
      <c r="D28">
        <v>46.4</v>
      </c>
      <c r="E28">
        <v>68.3</v>
      </c>
      <c r="F28">
        <v>151.1</v>
      </c>
    </row>
    <row r="37" spans="1:6" x14ac:dyDescent="0.2">
      <c r="B37" t="s">
        <v>11</v>
      </c>
      <c r="C37" t="s">
        <v>60</v>
      </c>
      <c r="D37" t="s">
        <v>63</v>
      </c>
      <c r="E37" t="s">
        <v>59</v>
      </c>
      <c r="F37" t="s">
        <v>64</v>
      </c>
    </row>
    <row r="38" spans="1:6" x14ac:dyDescent="0.2">
      <c r="A38" t="s">
        <v>61</v>
      </c>
      <c r="B38">
        <v>0.17152300000000001</v>
      </c>
      <c r="C38">
        <v>0.9</v>
      </c>
      <c r="D38">
        <v>0.12932099999999999</v>
      </c>
      <c r="E38">
        <v>0.87876100000000001</v>
      </c>
      <c r="F38">
        <v>4.7824999999999999E-2</v>
      </c>
    </row>
    <row r="39" spans="1:6" x14ac:dyDescent="0.2">
      <c r="A39" t="s">
        <v>62</v>
      </c>
      <c r="B39">
        <v>0.92412399999999995</v>
      </c>
      <c r="C39">
        <v>0.99999990000000005</v>
      </c>
      <c r="D39">
        <v>0.99628300000000003</v>
      </c>
      <c r="E39">
        <v>0.99999990000000005</v>
      </c>
      <c r="F39">
        <v>0.96034600000000003</v>
      </c>
    </row>
    <row r="40" spans="1:6" x14ac:dyDescent="0.2">
      <c r="E40" s="4"/>
    </row>
    <row r="41" spans="1:6" x14ac:dyDescent="0.2">
      <c r="E41" s="4"/>
    </row>
    <row r="42" spans="1:6" x14ac:dyDescent="0.2">
      <c r="E42" s="4"/>
    </row>
    <row r="43" spans="1:6" x14ac:dyDescent="0.2">
      <c r="E4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0FE8-64A7-3A44-B755-CC8C864533C4}">
  <dimension ref="A1:F16"/>
  <sheetViews>
    <sheetView workbookViewId="0">
      <selection activeCell="D4" sqref="D4"/>
    </sheetView>
  </sheetViews>
  <sheetFormatPr baseColWidth="10" defaultRowHeight="16" x14ac:dyDescent="0.2"/>
  <cols>
    <col min="2" max="2" width="21" customWidth="1"/>
    <col min="3" max="3" width="17.6640625" customWidth="1"/>
    <col min="4" max="4" width="19.1640625" customWidth="1"/>
    <col min="5" max="5" width="17.83203125" customWidth="1"/>
    <col min="6" max="6" width="21.83203125" customWidth="1"/>
  </cols>
  <sheetData>
    <row r="1" spans="1:6" x14ac:dyDescent="0.2">
      <c r="A1">
        <v>4096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">
      <c r="A2" t="s">
        <v>17</v>
      </c>
    </row>
    <row r="3" spans="1:6" x14ac:dyDescent="0.2">
      <c r="A3" t="s">
        <v>18</v>
      </c>
    </row>
    <row r="4" spans="1:6" x14ac:dyDescent="0.2">
      <c r="A4" t="s">
        <v>19</v>
      </c>
    </row>
    <row r="5" spans="1:6" x14ac:dyDescent="0.2">
      <c r="A5" t="s">
        <v>20</v>
      </c>
    </row>
    <row r="6" spans="1:6" x14ac:dyDescent="0.2">
      <c r="A6" t="s">
        <v>21</v>
      </c>
    </row>
    <row r="7" spans="1:6" x14ac:dyDescent="0.2">
      <c r="A7" t="s">
        <v>22</v>
      </c>
    </row>
    <row r="10" spans="1:6" x14ac:dyDescent="0.2">
      <c r="A10">
        <v>8192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</row>
    <row r="11" spans="1:6" x14ac:dyDescent="0.2">
      <c r="A11" t="s">
        <v>17</v>
      </c>
    </row>
    <row r="12" spans="1:6" x14ac:dyDescent="0.2">
      <c r="A12" t="s">
        <v>18</v>
      </c>
    </row>
    <row r="13" spans="1:6" x14ac:dyDescent="0.2">
      <c r="A13" t="s">
        <v>19</v>
      </c>
    </row>
    <row r="14" spans="1:6" x14ac:dyDescent="0.2">
      <c r="A14" t="s">
        <v>20</v>
      </c>
    </row>
    <row r="15" spans="1:6" x14ac:dyDescent="0.2">
      <c r="A15" t="s">
        <v>21</v>
      </c>
    </row>
    <row r="16" spans="1:6" x14ac:dyDescent="0.2">
      <c r="A1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2E5D-8FB3-C34F-A886-D10C8706BA46}">
  <dimension ref="A2:F16"/>
  <sheetViews>
    <sheetView workbookViewId="0">
      <selection activeCell="G21" sqref="G21"/>
    </sheetView>
  </sheetViews>
  <sheetFormatPr baseColWidth="10" defaultRowHeight="16" x14ac:dyDescent="0.2"/>
  <cols>
    <col min="2" max="2" width="18.6640625" customWidth="1"/>
    <col min="3" max="3" width="14.83203125" customWidth="1"/>
    <col min="4" max="4" width="15.6640625" customWidth="1"/>
    <col min="5" max="5" width="15.83203125" customWidth="1"/>
    <col min="6" max="6" width="28" customWidth="1"/>
  </cols>
  <sheetData>
    <row r="2" spans="1:6" x14ac:dyDescent="0.2">
      <c r="B2" t="s">
        <v>12</v>
      </c>
      <c r="C2" t="s">
        <v>58</v>
      </c>
      <c r="D2" t="s">
        <v>14</v>
      </c>
      <c r="E2" t="s">
        <v>15</v>
      </c>
      <c r="F2" t="s">
        <v>16</v>
      </c>
    </row>
    <row r="3" spans="1:6" x14ac:dyDescent="0.2">
      <c r="A3" t="s">
        <v>0</v>
      </c>
      <c r="B3">
        <f ca="1">RANDBETWEEN(170,199)/100</f>
        <v>1.99</v>
      </c>
      <c r="C3">
        <f ca="1">RANDBETWEEN(170,199)/100</f>
        <v>1.93</v>
      </c>
      <c r="D3">
        <f ca="1">RANDBETWEEN(170,199)/100</f>
        <v>1.78</v>
      </c>
      <c r="E3">
        <f ca="1">RANDBETWEEN(170,199)/100</f>
        <v>1.77</v>
      </c>
      <c r="F3">
        <f ca="1">RANDBETWEEN(170,199)/100</f>
        <v>1.94</v>
      </c>
    </row>
    <row r="4" spans="1:6" x14ac:dyDescent="0.2">
      <c r="A4" t="s">
        <v>1</v>
      </c>
      <c r="B4">
        <f t="shared" ref="B4:F7" ca="1" si="0">RANDBETWEEN(170,199)/100</f>
        <v>1.98</v>
      </c>
      <c r="C4">
        <f t="shared" ca="1" si="0"/>
        <v>1.74</v>
      </c>
      <c r="D4">
        <f t="shared" ca="1" si="0"/>
        <v>1.76</v>
      </c>
      <c r="E4">
        <f t="shared" ca="1" si="0"/>
        <v>1.81</v>
      </c>
      <c r="F4">
        <f t="shared" ca="1" si="0"/>
        <v>1.99</v>
      </c>
    </row>
    <row r="5" spans="1:6" x14ac:dyDescent="0.2">
      <c r="A5" t="s">
        <v>2</v>
      </c>
      <c r="B5">
        <f t="shared" ca="1" si="0"/>
        <v>1.71</v>
      </c>
      <c r="C5">
        <f t="shared" ca="1" si="0"/>
        <v>1.8</v>
      </c>
      <c r="D5">
        <f t="shared" ca="1" si="0"/>
        <v>1.75</v>
      </c>
      <c r="E5">
        <f t="shared" ca="1" si="0"/>
        <v>1.98</v>
      </c>
      <c r="F5">
        <f t="shared" ca="1" si="0"/>
        <v>1.84</v>
      </c>
    </row>
    <row r="6" spans="1:6" x14ac:dyDescent="0.2">
      <c r="A6" t="s">
        <v>3</v>
      </c>
      <c r="B6">
        <f t="shared" ca="1" si="0"/>
        <v>1.91</v>
      </c>
      <c r="C6">
        <f t="shared" ca="1" si="0"/>
        <v>1.78</v>
      </c>
      <c r="D6">
        <f t="shared" ca="1" si="0"/>
        <v>1.85</v>
      </c>
      <c r="E6">
        <f t="shared" ca="1" si="0"/>
        <v>1.85</v>
      </c>
      <c r="F6">
        <f t="shared" ca="1" si="0"/>
        <v>1.87</v>
      </c>
    </row>
    <row r="7" spans="1:6" x14ac:dyDescent="0.2">
      <c r="A7" t="s">
        <v>4</v>
      </c>
      <c r="B7">
        <f t="shared" ca="1" si="0"/>
        <v>1.84</v>
      </c>
      <c r="C7">
        <f t="shared" ca="1" si="0"/>
        <v>1.81</v>
      </c>
      <c r="D7">
        <f t="shared" ca="1" si="0"/>
        <v>1.81</v>
      </c>
      <c r="E7">
        <f t="shared" ca="1" si="0"/>
        <v>1.82</v>
      </c>
      <c r="F7">
        <f t="shared" ca="1" si="0"/>
        <v>1.7</v>
      </c>
    </row>
    <row r="8" spans="1:6" x14ac:dyDescent="0.2">
      <c r="A8" t="s">
        <v>5</v>
      </c>
      <c r="B8">
        <f ca="1">RANDBETWEEN(170,199)/100</f>
        <v>1.72</v>
      </c>
      <c r="C8">
        <f ca="1">RANDBETWEEN(170,199)/100</f>
        <v>1.81</v>
      </c>
      <c r="D8">
        <f ca="1">RANDBETWEEN(170,199)/100</f>
        <v>1.82</v>
      </c>
      <c r="E8">
        <f ca="1">RANDBETWEEN(170,199)/100</f>
        <v>1.82</v>
      </c>
      <c r="F8">
        <f ca="1">RANDBETWEEN(170,199)/100</f>
        <v>1.92</v>
      </c>
    </row>
    <row r="10" spans="1:6" x14ac:dyDescent="0.2">
      <c r="B10" t="s">
        <v>12</v>
      </c>
      <c r="C10" t="s">
        <v>58</v>
      </c>
      <c r="D10" t="s">
        <v>14</v>
      </c>
      <c r="E10" t="s">
        <v>15</v>
      </c>
      <c r="F10" t="s">
        <v>16</v>
      </c>
    </row>
    <row r="11" spans="1:6" x14ac:dyDescent="0.2">
      <c r="A11" t="s">
        <v>0</v>
      </c>
      <c r="B11">
        <f ca="1">RANDBETWEEN(350,389)/100</f>
        <v>3.8</v>
      </c>
      <c r="C11">
        <f t="shared" ref="C11:F16" ca="1" si="1">RANDBETWEEN(350,389)/100</f>
        <v>3.66</v>
      </c>
      <c r="D11">
        <f t="shared" ca="1" si="1"/>
        <v>3.74</v>
      </c>
      <c r="E11">
        <f t="shared" ca="1" si="1"/>
        <v>3.57</v>
      </c>
      <c r="F11">
        <f t="shared" ca="1" si="1"/>
        <v>3.65</v>
      </c>
    </row>
    <row r="12" spans="1:6" x14ac:dyDescent="0.2">
      <c r="A12" t="s">
        <v>1</v>
      </c>
      <c r="B12">
        <f t="shared" ref="B12:B16" ca="1" si="2">RANDBETWEEN(350,389)/100</f>
        <v>3.51</v>
      </c>
      <c r="C12">
        <f t="shared" ca="1" si="1"/>
        <v>3.59</v>
      </c>
      <c r="D12">
        <f t="shared" ca="1" si="1"/>
        <v>3.67</v>
      </c>
      <c r="E12">
        <f t="shared" ca="1" si="1"/>
        <v>3.64</v>
      </c>
      <c r="F12">
        <f t="shared" ca="1" si="1"/>
        <v>3.51</v>
      </c>
    </row>
    <row r="13" spans="1:6" x14ac:dyDescent="0.2">
      <c r="A13" t="s">
        <v>2</v>
      </c>
      <c r="B13">
        <f t="shared" ca="1" si="2"/>
        <v>3.7</v>
      </c>
      <c r="C13">
        <f t="shared" ca="1" si="1"/>
        <v>3.57</v>
      </c>
      <c r="D13">
        <f t="shared" ca="1" si="1"/>
        <v>3.81</v>
      </c>
      <c r="E13">
        <f t="shared" ca="1" si="1"/>
        <v>3.6</v>
      </c>
      <c r="F13">
        <f t="shared" ca="1" si="1"/>
        <v>3.73</v>
      </c>
    </row>
    <row r="14" spans="1:6" x14ac:dyDescent="0.2">
      <c r="A14" t="s">
        <v>3</v>
      </c>
      <c r="B14">
        <f t="shared" ca="1" si="2"/>
        <v>3.59</v>
      </c>
      <c r="C14">
        <f t="shared" ca="1" si="1"/>
        <v>3.74</v>
      </c>
      <c r="D14">
        <f t="shared" ca="1" si="1"/>
        <v>3.56</v>
      </c>
      <c r="E14">
        <f t="shared" ca="1" si="1"/>
        <v>3.88</v>
      </c>
      <c r="F14">
        <f t="shared" ca="1" si="1"/>
        <v>3.81</v>
      </c>
    </row>
    <row r="15" spans="1:6" x14ac:dyDescent="0.2">
      <c r="A15" t="s">
        <v>4</v>
      </c>
      <c r="B15">
        <f t="shared" ca="1" si="2"/>
        <v>3.55</v>
      </c>
      <c r="C15">
        <f t="shared" ca="1" si="1"/>
        <v>3.66</v>
      </c>
      <c r="D15">
        <f t="shared" ca="1" si="1"/>
        <v>3.78</v>
      </c>
      <c r="E15">
        <f t="shared" ca="1" si="1"/>
        <v>3.89</v>
      </c>
      <c r="F15">
        <f t="shared" ca="1" si="1"/>
        <v>3.87</v>
      </c>
    </row>
    <row r="16" spans="1:6" x14ac:dyDescent="0.2">
      <c r="A16" t="s">
        <v>5</v>
      </c>
      <c r="B16">
        <f t="shared" ca="1" si="2"/>
        <v>3.6</v>
      </c>
      <c r="C16">
        <f t="shared" ca="1" si="1"/>
        <v>3.74</v>
      </c>
      <c r="D16">
        <f t="shared" ca="1" si="1"/>
        <v>3.55</v>
      </c>
      <c r="E16">
        <f t="shared" ca="1" si="1"/>
        <v>3.89</v>
      </c>
      <c r="F16">
        <f t="shared" ca="1" si="1"/>
        <v>3.77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4B7B-BD7D-4747-A78F-DFA499E58AA1}">
  <dimension ref="G1:J7"/>
  <sheetViews>
    <sheetView workbookViewId="0">
      <selection activeCell="M7" sqref="M7"/>
    </sheetView>
  </sheetViews>
  <sheetFormatPr baseColWidth="10" defaultRowHeight="16" x14ac:dyDescent="0.2"/>
  <sheetData>
    <row r="1" spans="7:10" x14ac:dyDescent="0.2">
      <c r="H1" t="s">
        <v>56</v>
      </c>
      <c r="I1" s="2" t="s">
        <v>50</v>
      </c>
      <c r="J1" s="2" t="s">
        <v>49</v>
      </c>
    </row>
    <row r="2" spans="7:10" x14ac:dyDescent="0.2">
      <c r="G2" t="s">
        <v>0</v>
      </c>
      <c r="H2">
        <v>1</v>
      </c>
      <c r="I2">
        <v>0.96</v>
      </c>
      <c r="J2">
        <v>0.95</v>
      </c>
    </row>
    <row r="3" spans="7:10" x14ac:dyDescent="0.2">
      <c r="G3" t="s">
        <v>57</v>
      </c>
      <c r="H3">
        <v>1</v>
      </c>
      <c r="I3">
        <v>0.93</v>
      </c>
      <c r="J3">
        <v>0.88</v>
      </c>
    </row>
    <row r="4" spans="7:10" x14ac:dyDescent="0.2">
      <c r="G4" t="s">
        <v>2</v>
      </c>
      <c r="H4">
        <v>1</v>
      </c>
      <c r="I4">
        <v>0.87</v>
      </c>
      <c r="J4">
        <v>0.88</v>
      </c>
    </row>
    <row r="5" spans="7:10" x14ac:dyDescent="0.2">
      <c r="G5" t="s">
        <v>3</v>
      </c>
      <c r="H5">
        <v>1</v>
      </c>
      <c r="I5">
        <v>0.92</v>
      </c>
      <c r="J5">
        <v>0.85</v>
      </c>
    </row>
    <row r="6" spans="7:10" x14ac:dyDescent="0.2">
      <c r="G6" t="s">
        <v>4</v>
      </c>
      <c r="H6">
        <v>1</v>
      </c>
      <c r="I6">
        <v>0.91</v>
      </c>
      <c r="J6">
        <v>0.92</v>
      </c>
    </row>
    <row r="7" spans="7:10" x14ac:dyDescent="0.2">
      <c r="G7" t="s">
        <v>5</v>
      </c>
      <c r="H7">
        <v>1</v>
      </c>
      <c r="I7">
        <v>0.88</v>
      </c>
      <c r="J7">
        <v>0.89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1136-2876-2A4F-B795-20630F96F66A}">
  <dimension ref="A1:AP48"/>
  <sheetViews>
    <sheetView topLeftCell="J1" zoomScale="75" zoomScaleNormal="161" workbookViewId="0">
      <selection activeCell="N2" sqref="N2:N7"/>
    </sheetView>
  </sheetViews>
  <sheetFormatPr baseColWidth="10" defaultRowHeight="16" x14ac:dyDescent="0.2"/>
  <cols>
    <col min="3" max="3" width="18.33203125" customWidth="1"/>
    <col min="4" max="4" width="16.1640625" customWidth="1"/>
    <col min="6" max="6" width="11.83203125" customWidth="1"/>
    <col min="9" max="9" width="15.1640625" customWidth="1"/>
    <col min="10" max="10" width="15.33203125" customWidth="1"/>
    <col min="11" max="11" width="18.83203125" customWidth="1"/>
    <col min="12" max="12" width="12.5" customWidth="1"/>
    <col min="16" max="16" width="7.33203125" customWidth="1"/>
    <col min="17" max="17" width="13" customWidth="1"/>
    <col min="18" max="18" width="12.83203125" customWidth="1"/>
    <col min="19" max="19" width="11.5" customWidth="1"/>
    <col min="20" max="20" width="12" customWidth="1"/>
  </cols>
  <sheetData>
    <row r="1" spans="1:28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P1" t="s">
        <v>6</v>
      </c>
      <c r="Q1" t="s">
        <v>47</v>
      </c>
      <c r="R1" t="s">
        <v>48</v>
      </c>
      <c r="S1" s="2" t="s">
        <v>50</v>
      </c>
      <c r="T1" s="2" t="s">
        <v>49</v>
      </c>
      <c r="Y1" t="s">
        <v>47</v>
      </c>
      <c r="Z1" t="s">
        <v>48</v>
      </c>
      <c r="AA1" s="2" t="s">
        <v>50</v>
      </c>
      <c r="AB1" s="2" t="s">
        <v>49</v>
      </c>
    </row>
    <row r="2" spans="1:28" x14ac:dyDescent="0.2">
      <c r="A2" t="s">
        <v>23</v>
      </c>
      <c r="B2">
        <v>10584.24115</v>
      </c>
      <c r="C2">
        <v>279163.84375</v>
      </c>
      <c r="D2">
        <v>3599.5981194000001</v>
      </c>
      <c r="E2">
        <v>2271.6333614999999</v>
      </c>
      <c r="H2" t="s">
        <v>23</v>
      </c>
      <c r="I2">
        <f>B2/B2</f>
        <v>1</v>
      </c>
      <c r="J2">
        <f>B2/C2</f>
        <v>3.7914083026735081E-2</v>
      </c>
      <c r="K2">
        <f>B2/D2</f>
        <v>2.9403952327223233</v>
      </c>
      <c r="L2">
        <f>B2/E2</f>
        <v>4.6593087288571242</v>
      </c>
      <c r="N2" t="s">
        <v>65</v>
      </c>
      <c r="O2" t="s">
        <v>0</v>
      </c>
      <c r="P2">
        <v>1</v>
      </c>
      <c r="Q2" s="3">
        <v>3.7914083026735081E-2</v>
      </c>
      <c r="R2" s="3">
        <v>2.9403952327223233</v>
      </c>
      <c r="S2" s="3">
        <v>4.6593087288571242</v>
      </c>
      <c r="T2" s="3">
        <v>3.6593087288571202</v>
      </c>
      <c r="W2" t="s">
        <v>65</v>
      </c>
      <c r="X2" t="s">
        <v>0</v>
      </c>
      <c r="Y2" s="3">
        <v>3.7914083026735081E-2</v>
      </c>
      <c r="Z2" s="3">
        <v>2.9403952327223233</v>
      </c>
      <c r="AA2" s="3">
        <v>4.6593087288571242</v>
      </c>
      <c r="AB2" s="3">
        <v>4.6593087288571198</v>
      </c>
    </row>
    <row r="3" spans="1:28" x14ac:dyDescent="0.2">
      <c r="A3" t="s">
        <v>24</v>
      </c>
      <c r="B3">
        <v>15844.489544</v>
      </c>
      <c r="C3">
        <v>1187421.375</v>
      </c>
      <c r="D3">
        <v>18450.643359599999</v>
      </c>
      <c r="E3">
        <v>7541.6125485000002</v>
      </c>
      <c r="H3" t="s">
        <v>24</v>
      </c>
      <c r="I3">
        <f t="shared" ref="I3:I25" si="0">B3/B3</f>
        <v>1</v>
      </c>
      <c r="J3">
        <f t="shared" ref="J3:J25" si="1">B3/C3</f>
        <v>1.3343611524594628E-2</v>
      </c>
      <c r="K3">
        <f t="shared" ref="K3:K24" si="2">B3/D3</f>
        <v>0.85874997609533232</v>
      </c>
      <c r="L3">
        <f t="shared" ref="L3:L25" si="3">B3/E3</f>
        <v>2.1009418664913264</v>
      </c>
      <c r="N3" t="s">
        <v>66</v>
      </c>
      <c r="O3" t="s">
        <v>1</v>
      </c>
      <c r="P3">
        <v>1</v>
      </c>
      <c r="Q3" s="3">
        <v>0.70139749394726325</v>
      </c>
      <c r="R3" s="3">
        <v>8.0057073925174187</v>
      </c>
      <c r="S3" s="3">
        <v>11.881057501945463</v>
      </c>
      <c r="T3" s="3">
        <v>10.8810575019455</v>
      </c>
      <c r="W3" t="s">
        <v>71</v>
      </c>
      <c r="Y3" t="s">
        <v>47</v>
      </c>
      <c r="Z3" t="s">
        <v>48</v>
      </c>
      <c r="AA3" s="2" t="s">
        <v>50</v>
      </c>
      <c r="AB3" s="2" t="s">
        <v>49</v>
      </c>
    </row>
    <row r="4" spans="1:28" x14ac:dyDescent="0.2">
      <c r="A4" t="s">
        <v>25</v>
      </c>
      <c r="B4">
        <v>1143.410198</v>
      </c>
      <c r="C4">
        <v>1630.1885990000001</v>
      </c>
      <c r="D4">
        <v>142.82438040000002</v>
      </c>
      <c r="E4">
        <v>96.238082999999989</v>
      </c>
      <c r="H4" t="s">
        <v>25</v>
      </c>
      <c r="I4">
        <f t="shared" si="0"/>
        <v>1</v>
      </c>
      <c r="J4">
        <f t="shared" si="1"/>
        <v>0.70139749394726325</v>
      </c>
      <c r="K4">
        <f t="shared" si="2"/>
        <v>8.0057073925174187</v>
      </c>
      <c r="L4">
        <f t="shared" si="3"/>
        <v>11.881057501945463</v>
      </c>
      <c r="N4" t="s">
        <v>67</v>
      </c>
      <c r="O4" t="s">
        <v>2</v>
      </c>
      <c r="P4">
        <v>1</v>
      </c>
      <c r="Q4" s="3">
        <v>1.8131038917517879</v>
      </c>
      <c r="R4" s="3">
        <v>14.97725075670304</v>
      </c>
      <c r="S4" s="3">
        <v>19.331208838892739</v>
      </c>
      <c r="T4" s="3">
        <v>20.331208838892699</v>
      </c>
      <c r="W4" t="s">
        <v>66</v>
      </c>
      <c r="X4" t="s">
        <v>1</v>
      </c>
      <c r="Y4" s="3">
        <v>1.3343611524594628E-2</v>
      </c>
      <c r="Z4" s="3">
        <v>0.85874997609533232</v>
      </c>
      <c r="AA4" s="3">
        <v>2.1009418664913264</v>
      </c>
      <c r="AB4" s="3">
        <v>2</v>
      </c>
    </row>
    <row r="5" spans="1:28" x14ac:dyDescent="0.2">
      <c r="A5" t="s">
        <v>26</v>
      </c>
      <c r="B5">
        <v>2329.9548340000001</v>
      </c>
      <c r="C5">
        <v>10575.325194999999</v>
      </c>
      <c r="D5">
        <v>1230.8226192</v>
      </c>
      <c r="E5">
        <v>892.93515000000002</v>
      </c>
      <c r="H5" t="s">
        <v>26</v>
      </c>
      <c r="I5">
        <f t="shared" si="0"/>
        <v>1</v>
      </c>
      <c r="J5">
        <f t="shared" si="1"/>
        <v>0.22031992312648691</v>
      </c>
      <c r="K5">
        <f t="shared" si="2"/>
        <v>1.8930061876132933</v>
      </c>
      <c r="L5">
        <f t="shared" si="3"/>
        <v>2.6093214428841782</v>
      </c>
      <c r="N5" t="s">
        <v>68</v>
      </c>
      <c r="O5" t="s">
        <v>3</v>
      </c>
      <c r="P5">
        <v>1</v>
      </c>
      <c r="Q5" s="3">
        <v>17.737190860794598</v>
      </c>
      <c r="R5" s="3">
        <v>35.324984385413238</v>
      </c>
      <c r="S5" s="3">
        <v>47.50634135226786</v>
      </c>
      <c r="T5" s="3">
        <v>47.906341352267901</v>
      </c>
      <c r="W5" t="s">
        <v>72</v>
      </c>
      <c r="Y5" t="s">
        <v>47</v>
      </c>
      <c r="Z5" t="s">
        <v>48</v>
      </c>
      <c r="AA5" s="2" t="s">
        <v>50</v>
      </c>
      <c r="AB5" s="2" t="s">
        <v>49</v>
      </c>
    </row>
    <row r="6" spans="1:28" x14ac:dyDescent="0.2">
      <c r="A6" t="s">
        <v>27</v>
      </c>
      <c r="B6">
        <v>191.51637400000001</v>
      </c>
      <c r="C6">
        <v>8081.2338870000003</v>
      </c>
      <c r="D6">
        <v>929.21429519999992</v>
      </c>
      <c r="E6">
        <v>561.33732599999996</v>
      </c>
      <c r="H6" t="s">
        <v>27</v>
      </c>
      <c r="I6">
        <f t="shared" si="0"/>
        <v>1</v>
      </c>
      <c r="J6">
        <f t="shared" si="1"/>
        <v>2.3698902503995801E-2</v>
      </c>
      <c r="K6">
        <f t="shared" si="2"/>
        <v>0.20610571209387055</v>
      </c>
      <c r="L6">
        <f t="shared" si="3"/>
        <v>0.34117876209072906</v>
      </c>
      <c r="N6" t="s">
        <v>69</v>
      </c>
      <c r="O6" t="s">
        <v>4</v>
      </c>
      <c r="P6">
        <v>1</v>
      </c>
      <c r="Q6" s="3">
        <v>1.3434341314870699</v>
      </c>
      <c r="R6" s="3">
        <v>3.2494481997927833</v>
      </c>
      <c r="S6" s="3">
        <v>5.5845526438198867</v>
      </c>
      <c r="T6" s="3">
        <v>5.8988137875186801</v>
      </c>
      <c r="W6" t="s">
        <v>67</v>
      </c>
      <c r="X6" t="s">
        <v>2</v>
      </c>
      <c r="Y6" s="3">
        <v>0.70139749394726325</v>
      </c>
      <c r="Z6" s="3">
        <v>8.0057073925174187</v>
      </c>
      <c r="AA6" s="3">
        <v>11.881057501945463</v>
      </c>
      <c r="AB6" s="3">
        <v>10.8810575019455</v>
      </c>
    </row>
    <row r="7" spans="1:28" x14ac:dyDescent="0.2">
      <c r="A7" t="s">
        <v>28</v>
      </c>
      <c r="B7">
        <v>309.52402000000001</v>
      </c>
      <c r="C7">
        <v>6379.763672</v>
      </c>
      <c r="D7">
        <v>284.21567640000001</v>
      </c>
      <c r="E7">
        <v>119.16748799999999</v>
      </c>
      <c r="H7" t="s">
        <v>28</v>
      </c>
      <c r="I7">
        <f t="shared" si="0"/>
        <v>1</v>
      </c>
      <c r="J7">
        <f t="shared" si="1"/>
        <v>4.851653382686618E-2</v>
      </c>
      <c r="K7">
        <f t="shared" si="2"/>
        <v>1.0890462620519972</v>
      </c>
      <c r="L7">
        <f t="shared" si="3"/>
        <v>2.5973864616496742</v>
      </c>
      <c r="N7" t="s">
        <v>70</v>
      </c>
      <c r="O7" t="s">
        <v>5</v>
      </c>
      <c r="P7">
        <v>1</v>
      </c>
      <c r="Q7" s="3">
        <v>0.93831079396539008</v>
      </c>
      <c r="R7" s="3">
        <v>3.5615592797411781</v>
      </c>
      <c r="S7" s="3">
        <v>4.7982350432496403</v>
      </c>
      <c r="T7" s="3">
        <v>4.7588279438598997</v>
      </c>
      <c r="W7" t="s">
        <v>68</v>
      </c>
      <c r="Y7" t="s">
        <v>47</v>
      </c>
      <c r="Z7" t="s">
        <v>48</v>
      </c>
      <c r="AA7" s="2" t="s">
        <v>50</v>
      </c>
      <c r="AB7" s="2" t="s">
        <v>49</v>
      </c>
    </row>
    <row r="8" spans="1:28" x14ac:dyDescent="0.2">
      <c r="A8" t="s">
        <v>29</v>
      </c>
      <c r="B8">
        <v>73.896857999999995</v>
      </c>
      <c r="C8">
        <v>956.48864700000001</v>
      </c>
      <c r="D8">
        <v>72.843262200000012</v>
      </c>
      <c r="E8">
        <v>58.340257499999993</v>
      </c>
      <c r="H8" t="s">
        <v>29</v>
      </c>
      <c r="I8">
        <f t="shared" si="0"/>
        <v>1</v>
      </c>
      <c r="J8">
        <f t="shared" si="1"/>
        <v>7.7258478949829082E-2</v>
      </c>
      <c r="K8">
        <f t="shared" si="2"/>
        <v>1.0144638744638756</v>
      </c>
      <c r="L8">
        <f t="shared" si="3"/>
        <v>1.2666529282974111</v>
      </c>
      <c r="Q8" s="3">
        <f>AVERAGE(Q2:Q7)</f>
        <v>3.7618918758288071</v>
      </c>
      <c r="R8" s="3">
        <f>AVERAGE(R2:R7)</f>
        <v>11.343224207814997</v>
      </c>
      <c r="S8" s="3">
        <f>AVERAGE(S2:S7)</f>
        <v>15.626784018172122</v>
      </c>
      <c r="T8" s="3">
        <f>AVERAGE(T2:T7)</f>
        <v>15.572593025556968</v>
      </c>
      <c r="W8" t="s">
        <v>69</v>
      </c>
      <c r="X8" t="s">
        <v>3</v>
      </c>
      <c r="Y8" s="3">
        <v>1.2</v>
      </c>
      <c r="Z8" s="3">
        <v>1.5</v>
      </c>
      <c r="AA8" s="3">
        <v>2.2999999999999998</v>
      </c>
      <c r="AB8" s="3">
        <v>2.2000000000000002</v>
      </c>
    </row>
    <row r="9" spans="1:28" x14ac:dyDescent="0.2">
      <c r="A9" t="s">
        <v>30</v>
      </c>
      <c r="B9">
        <v>18.20927</v>
      </c>
      <c r="C9">
        <v>955.30908199999999</v>
      </c>
      <c r="D9">
        <v>66.72752460000001</v>
      </c>
      <c r="E9">
        <v>55.022592000000003</v>
      </c>
      <c r="H9" t="s">
        <v>30</v>
      </c>
      <c r="I9">
        <f t="shared" si="0"/>
        <v>1</v>
      </c>
      <c r="J9">
        <f t="shared" si="1"/>
        <v>1.9061129369646254E-2</v>
      </c>
      <c r="K9">
        <f t="shared" si="2"/>
        <v>0.27288993723588539</v>
      </c>
      <c r="L9">
        <f t="shared" si="3"/>
        <v>0.33094169754852698</v>
      </c>
      <c r="S9" s="2"/>
      <c r="T9" s="2"/>
      <c r="W9" t="s">
        <v>70</v>
      </c>
      <c r="Y9" t="s">
        <v>47</v>
      </c>
      <c r="Z9" t="s">
        <v>48</v>
      </c>
      <c r="AA9" s="2" t="s">
        <v>50</v>
      </c>
      <c r="AB9" s="2" t="s">
        <v>49</v>
      </c>
    </row>
    <row r="10" spans="1:28" x14ac:dyDescent="0.2">
      <c r="A10" t="s">
        <v>31</v>
      </c>
      <c r="B10">
        <v>149909.28753599999</v>
      </c>
      <c r="C10">
        <v>168886.125</v>
      </c>
      <c r="D10">
        <v>298648.6875</v>
      </c>
      <c r="E10">
        <v>251922.75</v>
      </c>
      <c r="H10" t="s">
        <v>31</v>
      </c>
      <c r="I10">
        <f t="shared" si="0"/>
        <v>1</v>
      </c>
      <c r="J10">
        <f t="shared" si="1"/>
        <v>0.88763530773176302</v>
      </c>
      <c r="K10">
        <f t="shared" si="2"/>
        <v>0.50195863504673865</v>
      </c>
      <c r="L10">
        <f t="shared" si="3"/>
        <v>0.5950605395344406</v>
      </c>
      <c r="W10" t="s">
        <v>73</v>
      </c>
      <c r="X10" t="s">
        <v>4</v>
      </c>
      <c r="Y10" s="3">
        <v>1.8131038917517879</v>
      </c>
      <c r="Z10" s="3">
        <v>14.97725075670304</v>
      </c>
      <c r="AA10" s="3">
        <v>19.331208838892739</v>
      </c>
      <c r="AB10" s="3">
        <v>20.331208838892699</v>
      </c>
    </row>
    <row r="11" spans="1:28" x14ac:dyDescent="0.2">
      <c r="A11" t="s">
        <v>32</v>
      </c>
      <c r="B11">
        <v>1910.878019</v>
      </c>
      <c r="C11">
        <v>3187.6782229999999</v>
      </c>
      <c r="D11">
        <v>2862.7385004000002</v>
      </c>
      <c r="E11">
        <v>2331.2501220000004</v>
      </c>
      <c r="H11" t="s">
        <v>32</v>
      </c>
      <c r="I11">
        <f t="shared" si="0"/>
        <v>1</v>
      </c>
      <c r="J11">
        <f t="shared" si="1"/>
        <v>0.59945762568269112</v>
      </c>
      <c r="K11">
        <f t="shared" si="2"/>
        <v>0.66750002444617274</v>
      </c>
      <c r="L11">
        <f t="shared" si="3"/>
        <v>0.81967953629988044</v>
      </c>
      <c r="P11" t="s">
        <v>6</v>
      </c>
      <c r="Q11" t="s">
        <v>47</v>
      </c>
      <c r="R11" t="s">
        <v>48</v>
      </c>
      <c r="S11" s="2" t="s">
        <v>50</v>
      </c>
      <c r="T11" s="2" t="s">
        <v>49</v>
      </c>
      <c r="Y11" t="s">
        <v>47</v>
      </c>
      <c r="Z11" t="s">
        <v>48</v>
      </c>
      <c r="AA11" s="2" t="s">
        <v>50</v>
      </c>
      <c r="AB11" s="2" t="s">
        <v>49</v>
      </c>
    </row>
    <row r="12" spans="1:28" x14ac:dyDescent="0.2">
      <c r="A12" t="s">
        <v>33</v>
      </c>
      <c r="B12">
        <v>20038.886341000001</v>
      </c>
      <c r="C12">
        <v>11052.254883</v>
      </c>
      <c r="D12">
        <v>1337.9549201999998</v>
      </c>
      <c r="E12">
        <v>1036.6080314999999</v>
      </c>
      <c r="H12" t="s">
        <v>33</v>
      </c>
      <c r="I12">
        <f t="shared" si="0"/>
        <v>1</v>
      </c>
      <c r="J12">
        <f t="shared" si="1"/>
        <v>1.8131038917517879</v>
      </c>
      <c r="K12">
        <f t="shared" si="2"/>
        <v>14.97725075670304</v>
      </c>
      <c r="L12">
        <f t="shared" si="3"/>
        <v>19.331208838892739</v>
      </c>
      <c r="O12" t="s">
        <v>0</v>
      </c>
      <c r="P12">
        <v>1</v>
      </c>
      <c r="Q12" s="3">
        <v>3.7914083026735081E-2</v>
      </c>
      <c r="R12" s="3">
        <v>2.9403952327223233</v>
      </c>
      <c r="S12" s="3">
        <v>4.6593087288571242</v>
      </c>
      <c r="T12" s="3">
        <v>3.6593087288571202</v>
      </c>
      <c r="X12" t="s">
        <v>5</v>
      </c>
      <c r="Y12" s="3">
        <v>17.737190860794598</v>
      </c>
      <c r="Z12" s="3">
        <v>35.324984385413238</v>
      </c>
      <c r="AA12" s="3">
        <v>47.50634135226786</v>
      </c>
      <c r="AB12" s="3">
        <v>47.906341352267901</v>
      </c>
    </row>
    <row r="13" spans="1:28" x14ac:dyDescent="0.2">
      <c r="A13" t="s">
        <v>34</v>
      </c>
      <c r="B13">
        <v>16431.026188</v>
      </c>
      <c r="C13">
        <v>220619.203125</v>
      </c>
      <c r="D13">
        <v>56057.185546200002</v>
      </c>
      <c r="E13">
        <v>39819.307616999999</v>
      </c>
      <c r="H13" t="s">
        <v>34</v>
      </c>
      <c r="I13">
        <f t="shared" si="0"/>
        <v>1</v>
      </c>
      <c r="J13">
        <f t="shared" si="1"/>
        <v>7.4476863098315124E-2</v>
      </c>
      <c r="K13">
        <f t="shared" si="2"/>
        <v>0.2931118647485117</v>
      </c>
      <c r="L13">
        <f t="shared" si="3"/>
        <v>0.41263967585878181</v>
      </c>
      <c r="O13" t="s">
        <v>1</v>
      </c>
      <c r="P13">
        <v>1</v>
      </c>
      <c r="Q13" s="3">
        <v>0.70139749394726325</v>
      </c>
      <c r="R13" s="3">
        <v>8.0057073925174187</v>
      </c>
      <c r="S13" s="3">
        <v>11.881057501945463</v>
      </c>
      <c r="T13" s="3">
        <v>10.8810575019455</v>
      </c>
      <c r="Y13" t="s">
        <v>47</v>
      </c>
      <c r="Z13" t="s">
        <v>48</v>
      </c>
      <c r="AA13" s="2" t="s">
        <v>50</v>
      </c>
      <c r="AB13" s="2" t="s">
        <v>49</v>
      </c>
    </row>
    <row r="14" spans="1:28" x14ac:dyDescent="0.2">
      <c r="A14" t="s">
        <v>35</v>
      </c>
      <c r="B14">
        <v>114232.45116</v>
      </c>
      <c r="C14">
        <v>5255.1616210000002</v>
      </c>
      <c r="D14">
        <v>3233.7580085999998</v>
      </c>
      <c r="E14">
        <v>2404.5726930000001</v>
      </c>
      <c r="H14" t="s">
        <v>35</v>
      </c>
      <c r="I14">
        <f t="shared" si="0"/>
        <v>1</v>
      </c>
      <c r="J14">
        <f t="shared" si="1"/>
        <v>21.737190860794648</v>
      </c>
      <c r="K14">
        <f t="shared" si="2"/>
        <v>35.324984385413238</v>
      </c>
      <c r="L14">
        <f t="shared" si="3"/>
        <v>47.50634135226786</v>
      </c>
      <c r="O14" t="s">
        <v>2</v>
      </c>
      <c r="P14">
        <v>1</v>
      </c>
      <c r="Q14" s="3">
        <v>1.8131038917517879</v>
      </c>
      <c r="R14" s="3">
        <v>14.97725075670304</v>
      </c>
      <c r="S14" s="3">
        <v>19.331208838892739</v>
      </c>
      <c r="T14" s="3">
        <v>20.331208838892699</v>
      </c>
      <c r="X14" t="s">
        <v>74</v>
      </c>
      <c r="Y14" s="3">
        <v>1.3434341314870699</v>
      </c>
      <c r="Z14" s="3">
        <v>3.2494481997927833</v>
      </c>
      <c r="AA14" s="3">
        <v>5.5845526438198867</v>
      </c>
      <c r="AB14" s="3">
        <v>5.8988137875186801</v>
      </c>
    </row>
    <row r="15" spans="1:28" x14ac:dyDescent="0.2">
      <c r="A15" t="s">
        <v>36</v>
      </c>
      <c r="B15">
        <v>864.942092</v>
      </c>
      <c r="C15">
        <v>2281.7607419999999</v>
      </c>
      <c r="D15">
        <v>1318.7856437999999</v>
      </c>
      <c r="E15">
        <v>635.26963799999999</v>
      </c>
      <c r="H15" t="s">
        <v>36</v>
      </c>
      <c r="I15">
        <f t="shared" si="0"/>
        <v>1</v>
      </c>
      <c r="J15">
        <f t="shared" si="1"/>
        <v>0.3790678295402104</v>
      </c>
      <c r="K15">
        <f t="shared" si="2"/>
        <v>0.65586253237313263</v>
      </c>
      <c r="L15">
        <f t="shared" si="3"/>
        <v>1.3615353863330708</v>
      </c>
      <c r="O15" t="s">
        <v>3</v>
      </c>
      <c r="P15">
        <v>1</v>
      </c>
      <c r="Q15" s="3">
        <v>17.737190860794598</v>
      </c>
      <c r="R15" s="3">
        <v>35.324984385413238</v>
      </c>
      <c r="S15" s="3">
        <v>47.50634135226786</v>
      </c>
      <c r="T15" s="3">
        <v>47.906341352267901</v>
      </c>
      <c r="Y15" t="s">
        <v>47</v>
      </c>
      <c r="Z15" t="s">
        <v>48</v>
      </c>
      <c r="AA15" s="2" t="s">
        <v>50</v>
      </c>
      <c r="AB15" s="2" t="s">
        <v>49</v>
      </c>
    </row>
    <row r="16" spans="1:28" x14ac:dyDescent="0.2">
      <c r="A16" t="s">
        <v>37</v>
      </c>
      <c r="B16">
        <v>264.137653</v>
      </c>
      <c r="C16">
        <v>1001.770996</v>
      </c>
      <c r="D16">
        <v>133.37026019999999</v>
      </c>
      <c r="E16">
        <v>91.694881500000008</v>
      </c>
      <c r="H16" t="s">
        <v>37</v>
      </c>
      <c r="I16">
        <f t="shared" si="0"/>
        <v>1</v>
      </c>
      <c r="J16">
        <f t="shared" si="1"/>
        <v>0.26367069325692477</v>
      </c>
      <c r="K16">
        <f t="shared" si="2"/>
        <v>1.9804838995133041</v>
      </c>
      <c r="L16">
        <f t="shared" si="3"/>
        <v>2.8806150210249193</v>
      </c>
      <c r="O16" t="s">
        <v>4</v>
      </c>
      <c r="P16">
        <v>1</v>
      </c>
      <c r="Q16" s="3">
        <v>1.3434341314870699</v>
      </c>
      <c r="R16" s="3">
        <v>3.2494481997927833</v>
      </c>
      <c r="S16" s="3">
        <v>5.5845526438198867</v>
      </c>
      <c r="T16" s="3">
        <v>5.8988137875186801</v>
      </c>
      <c r="X16" t="s">
        <v>75</v>
      </c>
      <c r="Y16" s="3">
        <v>0.93831079396539008</v>
      </c>
      <c r="Z16" s="3">
        <v>3.5615592797411781</v>
      </c>
      <c r="AA16" s="3">
        <v>4.7982350432496403</v>
      </c>
      <c r="AB16" s="3">
        <v>4.7588279438598997</v>
      </c>
    </row>
    <row r="17" spans="1:42" x14ac:dyDescent="0.2">
      <c r="A17" t="s">
        <v>38</v>
      </c>
      <c r="B17">
        <v>59.565958999999999</v>
      </c>
      <c r="C17">
        <v>978.46478300000001</v>
      </c>
      <c r="D17">
        <v>114.9843456</v>
      </c>
      <c r="E17">
        <v>93.830017499999997</v>
      </c>
      <c r="H17" t="s">
        <v>38</v>
      </c>
      <c r="I17">
        <f t="shared" si="0"/>
        <v>1</v>
      </c>
      <c r="J17">
        <f t="shared" si="1"/>
        <v>6.0876957489843557E-2</v>
      </c>
      <c r="K17">
        <f t="shared" si="2"/>
        <v>0.51803537854808646</v>
      </c>
      <c r="L17">
        <f t="shared" si="3"/>
        <v>0.63482839060538387</v>
      </c>
      <c r="O17" t="s">
        <v>5</v>
      </c>
      <c r="P17">
        <v>1</v>
      </c>
      <c r="Q17" s="3">
        <v>0.93831079396539008</v>
      </c>
      <c r="R17" s="3">
        <v>3.5615592797411781</v>
      </c>
      <c r="S17" s="3">
        <v>4.7982350432496403</v>
      </c>
      <c r="T17" s="3">
        <v>4.7588279438598997</v>
      </c>
      <c r="Y17" t="s">
        <v>47</v>
      </c>
      <c r="Z17" t="s">
        <v>48</v>
      </c>
      <c r="AA17" s="2" t="s">
        <v>50</v>
      </c>
      <c r="AB17" s="2" t="s">
        <v>49</v>
      </c>
    </row>
    <row r="18" spans="1:42" x14ac:dyDescent="0.2">
      <c r="A18" t="s">
        <v>39</v>
      </c>
      <c r="B18">
        <v>7206.9403750000001</v>
      </c>
      <c r="C18">
        <v>15111.229492</v>
      </c>
      <c r="D18">
        <v>33897.5121096</v>
      </c>
      <c r="E18">
        <v>21051.228515999999</v>
      </c>
      <c r="H18" t="s">
        <v>39</v>
      </c>
      <c r="I18">
        <f t="shared" si="0"/>
        <v>1</v>
      </c>
      <c r="J18">
        <f t="shared" si="1"/>
        <v>0.47692614150393314</v>
      </c>
      <c r="K18">
        <f t="shared" si="2"/>
        <v>0.21260971459197286</v>
      </c>
      <c r="L18">
        <f t="shared" si="3"/>
        <v>0.342352484061553</v>
      </c>
      <c r="X18" t="s">
        <v>76</v>
      </c>
      <c r="Y18" s="3">
        <v>0.27090546004486421</v>
      </c>
      <c r="Z18" s="3">
        <v>1.3936521310246386</v>
      </c>
      <c r="AA18" s="3">
        <v>1.7451693745683301</v>
      </c>
      <c r="AB18" s="3">
        <v>1.7</v>
      </c>
    </row>
    <row r="19" spans="1:42" x14ac:dyDescent="0.2">
      <c r="A19" t="s">
        <v>40</v>
      </c>
      <c r="B19">
        <v>264239.03024300002</v>
      </c>
      <c r="C19">
        <v>564454.5625</v>
      </c>
      <c r="D19">
        <v>72427.710938399992</v>
      </c>
      <c r="E19">
        <v>29693.736328499996</v>
      </c>
      <c r="H19" t="s">
        <v>40</v>
      </c>
      <c r="I19">
        <f t="shared" si="0"/>
        <v>1</v>
      </c>
      <c r="J19">
        <f t="shared" si="1"/>
        <v>0.46813162262817215</v>
      </c>
      <c r="K19">
        <f t="shared" si="2"/>
        <v>3.6483139784403265</v>
      </c>
      <c r="L19">
        <f t="shared" si="3"/>
        <v>8.8988137875186784</v>
      </c>
      <c r="Q19">
        <f>S12/Q12</f>
        <v>122.89124137781776</v>
      </c>
      <c r="R19">
        <f>S12/R12</f>
        <v>1.5845858668949648</v>
      </c>
    </row>
    <row r="20" spans="1:42" x14ac:dyDescent="0.2">
      <c r="A20" t="s">
        <v>41</v>
      </c>
      <c r="B20">
        <v>131554.294972</v>
      </c>
      <c r="C20">
        <v>17914.546875</v>
      </c>
      <c r="D20">
        <v>40485.118359600005</v>
      </c>
      <c r="E20">
        <v>23556.818847000002</v>
      </c>
      <c r="H20" t="s">
        <v>41</v>
      </c>
      <c r="I20">
        <f t="shared" si="0"/>
        <v>1</v>
      </c>
      <c r="J20">
        <f t="shared" si="1"/>
        <v>7.3434341314870686</v>
      </c>
      <c r="K20">
        <f t="shared" si="2"/>
        <v>3.2494481997927833</v>
      </c>
      <c r="L20">
        <f t="shared" si="3"/>
        <v>5.5845526438198867</v>
      </c>
      <c r="Q20">
        <f t="shared" ref="Q20:Q25" si="4">S13/Q13</f>
        <v>16.939121688448431</v>
      </c>
      <c r="R20">
        <f t="shared" ref="R20:R24" si="5">S13/R13</f>
        <v>1.4840734140558476</v>
      </c>
    </row>
    <row r="21" spans="1:42" x14ac:dyDescent="0.2">
      <c r="A21" t="s">
        <v>42</v>
      </c>
      <c r="B21">
        <v>147297.51915099999</v>
      </c>
      <c r="C21">
        <v>14075.912109000001</v>
      </c>
      <c r="D21">
        <v>4771.7793450000008</v>
      </c>
      <c r="E21">
        <v>3366.1212164999997</v>
      </c>
      <c r="H21" t="s">
        <v>42</v>
      </c>
      <c r="I21">
        <f t="shared" si="0"/>
        <v>1</v>
      </c>
      <c r="J21">
        <f t="shared" si="1"/>
        <v>10.464509724866739</v>
      </c>
      <c r="K21">
        <f t="shared" si="2"/>
        <v>30.868468238235344</v>
      </c>
      <c r="L21">
        <f t="shared" si="3"/>
        <v>43.758827943859934</v>
      </c>
      <c r="Q21">
        <f t="shared" si="4"/>
        <v>10.661942168253402</v>
      </c>
      <c r="R21">
        <f t="shared" si="5"/>
        <v>1.2907047596997128</v>
      </c>
    </row>
    <row r="22" spans="1:42" x14ac:dyDescent="0.2">
      <c r="A22" t="s">
        <v>43</v>
      </c>
      <c r="B22">
        <v>6980.4003519999997</v>
      </c>
      <c r="C22">
        <v>5071.6132809999999</v>
      </c>
      <c r="D22">
        <v>7915.4929692000005</v>
      </c>
      <c r="E22">
        <v>4445.1994635000001</v>
      </c>
      <c r="H22" t="s">
        <v>43</v>
      </c>
      <c r="I22">
        <f t="shared" si="0"/>
        <v>1</v>
      </c>
      <c r="J22">
        <f t="shared" si="1"/>
        <v>1.376366841326599</v>
      </c>
      <c r="K22">
        <f t="shared" si="2"/>
        <v>0.88186552362075965</v>
      </c>
      <c r="L22">
        <f t="shared" si="3"/>
        <v>1.5703233137943078</v>
      </c>
      <c r="Q22">
        <f t="shared" si="4"/>
        <v>2.6783464036164548</v>
      </c>
      <c r="R22">
        <f t="shared" si="5"/>
        <v>1.3448368676953946</v>
      </c>
    </row>
    <row r="23" spans="1:42" x14ac:dyDescent="0.2">
      <c r="A23" t="s">
        <v>44</v>
      </c>
      <c r="B23">
        <v>22693.616623000002</v>
      </c>
      <c r="C23">
        <v>3846.6159670000002</v>
      </c>
      <c r="D23">
        <v>6415.1213381999996</v>
      </c>
      <c r="E23">
        <v>3705.5584710000003</v>
      </c>
      <c r="H23" t="s">
        <v>44</v>
      </c>
      <c r="I23">
        <f t="shared" si="0"/>
        <v>1</v>
      </c>
      <c r="J23">
        <f t="shared" si="1"/>
        <v>5.8996314728810564</v>
      </c>
      <c r="K23">
        <f t="shared" si="2"/>
        <v>3.5375194679275603</v>
      </c>
      <c r="L23">
        <f t="shared" si="3"/>
        <v>6.1242095626346416</v>
      </c>
      <c r="Q23">
        <f t="shared" si="4"/>
        <v>4.1569233004659862</v>
      </c>
      <c r="R23">
        <f t="shared" si="5"/>
        <v>1.718615685018771</v>
      </c>
    </row>
    <row r="24" spans="1:42" x14ac:dyDescent="0.2">
      <c r="A24" t="s">
        <v>45</v>
      </c>
      <c r="B24">
        <v>971.81348300000002</v>
      </c>
      <c r="C24">
        <v>1035.705322</v>
      </c>
      <c r="D24">
        <v>272.86180200000001</v>
      </c>
      <c r="E24">
        <v>202.53561450000001</v>
      </c>
      <c r="H24" t="s">
        <v>45</v>
      </c>
      <c r="I24">
        <f t="shared" si="0"/>
        <v>1</v>
      </c>
      <c r="J24">
        <f t="shared" si="1"/>
        <v>0.93831079396539008</v>
      </c>
      <c r="K24">
        <f t="shared" si="2"/>
        <v>3.5615592797411781</v>
      </c>
      <c r="L24">
        <f t="shared" si="3"/>
        <v>4.7982350432496403</v>
      </c>
      <c r="Q24">
        <f t="shared" si="4"/>
        <v>5.1136948163751219</v>
      </c>
      <c r="R24">
        <f t="shared" si="5"/>
        <v>1.3472287462805708</v>
      </c>
      <c r="X24" t="s">
        <v>47</v>
      </c>
      <c r="Y24" t="s">
        <v>48</v>
      </c>
      <c r="Z24" s="2" t="s">
        <v>50</v>
      </c>
      <c r="AA24" s="2" t="s">
        <v>49</v>
      </c>
      <c r="AE24" t="s">
        <v>47</v>
      </c>
      <c r="AF24" t="s">
        <v>48</v>
      </c>
      <c r="AG24" s="2" t="s">
        <v>50</v>
      </c>
      <c r="AH24" s="2" t="s">
        <v>49</v>
      </c>
      <c r="AL24" t="s">
        <v>47</v>
      </c>
      <c r="AM24" t="s">
        <v>48</v>
      </c>
      <c r="AN24" s="2" t="s">
        <v>50</v>
      </c>
      <c r="AO24" s="2" t="s">
        <v>49</v>
      </c>
    </row>
    <row r="25" spans="1:42" x14ac:dyDescent="0.2">
      <c r="A25" t="s">
        <v>46</v>
      </c>
      <c r="B25">
        <v>285.28610200000003</v>
      </c>
      <c r="C25">
        <v>1053.0836179999999</v>
      </c>
      <c r="D25">
        <v>204.7039542</v>
      </c>
      <c r="E25">
        <v>163.47187049999999</v>
      </c>
      <c r="H25" t="s">
        <v>46</v>
      </c>
      <c r="I25">
        <f t="shared" si="0"/>
        <v>1</v>
      </c>
      <c r="J25">
        <f t="shared" si="1"/>
        <v>0.27090546004486421</v>
      </c>
      <c r="K25">
        <f>B25/D25</f>
        <v>1.3936521310246386</v>
      </c>
      <c r="L25">
        <f t="shared" si="3"/>
        <v>1.7451693745683301</v>
      </c>
      <c r="Q25" t="e">
        <f t="shared" si="4"/>
        <v>#DIV/0!</v>
      </c>
      <c r="W25" t="s">
        <v>0</v>
      </c>
      <c r="X25" s="3">
        <v>3.7914083026735081E-2</v>
      </c>
      <c r="Y25" s="3">
        <v>2.9403952327223233</v>
      </c>
      <c r="Z25" s="3">
        <v>4.6593087288571242</v>
      </c>
      <c r="AA25" s="3">
        <v>4.7393087288571198</v>
      </c>
      <c r="AD25" t="s">
        <v>1</v>
      </c>
      <c r="AE25" s="3">
        <v>1.3343611524594628E-2</v>
      </c>
      <c r="AF25" s="3">
        <v>0.85874997609533232</v>
      </c>
      <c r="AG25" s="3">
        <v>2.1009418664913264</v>
      </c>
      <c r="AH25" s="3">
        <v>2.1</v>
      </c>
      <c r="AK25" t="s">
        <v>2</v>
      </c>
      <c r="AL25" s="3">
        <v>0.70139749394726325</v>
      </c>
      <c r="AM25" s="3">
        <v>8.0057073925174187</v>
      </c>
      <c r="AN25" s="3">
        <v>8.8810575019455005</v>
      </c>
      <c r="AO25" s="3">
        <v>11.8810575019455</v>
      </c>
    </row>
    <row r="26" spans="1:42" x14ac:dyDescent="0.2">
      <c r="Z26">
        <f>Z25*AB26</f>
        <v>0.13977926186571371</v>
      </c>
      <c r="AB26">
        <v>0.03</v>
      </c>
      <c r="AG26">
        <f>AG25*AI26</f>
        <v>6.3028255994739796E-2</v>
      </c>
      <c r="AI26">
        <v>0.03</v>
      </c>
      <c r="AN26">
        <f>AN25*AP26</f>
        <v>1.2433480502723702</v>
      </c>
      <c r="AP26">
        <v>0.14000000000000001</v>
      </c>
    </row>
    <row r="27" spans="1:42" x14ac:dyDescent="0.2">
      <c r="Z27">
        <f>Z25*AB27</f>
        <v>0.13977926186571371</v>
      </c>
      <c r="AB27">
        <v>0.03</v>
      </c>
      <c r="AG27">
        <f>AG25*AI27</f>
        <v>6.3028255994739796E-2</v>
      </c>
      <c r="AI27">
        <v>0.03</v>
      </c>
      <c r="AN27">
        <f>AN25*AP27</f>
        <v>1.2433480502723702</v>
      </c>
      <c r="AP27">
        <v>0.14000000000000001</v>
      </c>
    </row>
    <row r="29" spans="1:42" x14ac:dyDescent="0.2">
      <c r="X29" t="s">
        <v>47</v>
      </c>
      <c r="Y29" t="s">
        <v>48</v>
      </c>
      <c r="Z29" s="2" t="s">
        <v>50</v>
      </c>
      <c r="AA29" s="2" t="s">
        <v>49</v>
      </c>
      <c r="AE29" t="s">
        <v>47</v>
      </c>
      <c r="AF29" t="s">
        <v>48</v>
      </c>
      <c r="AG29" s="2" t="s">
        <v>50</v>
      </c>
      <c r="AH29" s="2" t="s">
        <v>49</v>
      </c>
      <c r="AL29" t="s">
        <v>47</v>
      </c>
      <c r="AM29" t="s">
        <v>48</v>
      </c>
      <c r="AN29" s="2" t="s">
        <v>50</v>
      </c>
      <c r="AO29" s="2" t="s">
        <v>49</v>
      </c>
    </row>
    <row r="30" spans="1:42" x14ac:dyDescent="0.2">
      <c r="W30" t="s">
        <v>3</v>
      </c>
      <c r="X30" s="3">
        <v>1.2</v>
      </c>
      <c r="Y30" s="3">
        <v>1.5</v>
      </c>
      <c r="Z30" s="3">
        <v>2.2999999999999998</v>
      </c>
      <c r="AA30" s="3">
        <v>2.2000000000000002</v>
      </c>
      <c r="AD30" t="s">
        <v>4</v>
      </c>
      <c r="AE30" s="3">
        <v>1.8131038917517879</v>
      </c>
      <c r="AF30" s="3">
        <v>14.97725075670304</v>
      </c>
      <c r="AG30" s="3">
        <v>19.331208838892739</v>
      </c>
      <c r="AH30" s="3">
        <v>20.331208838892699</v>
      </c>
      <c r="AK30" t="s">
        <v>5</v>
      </c>
      <c r="AL30" s="3">
        <v>17.737190860794598</v>
      </c>
      <c r="AM30" s="3">
        <v>35.324984385413238</v>
      </c>
      <c r="AN30" s="3">
        <v>47.50634135226786</v>
      </c>
      <c r="AO30" s="3">
        <v>47.906341352267901</v>
      </c>
    </row>
    <row r="31" spans="1:42" x14ac:dyDescent="0.2">
      <c r="S31" t="s">
        <v>6</v>
      </c>
      <c r="Z31">
        <f>Z30*AB31</f>
        <v>1.84E-2</v>
      </c>
      <c r="AB31">
        <v>8.0000000000000002E-3</v>
      </c>
      <c r="AG31">
        <f>AG30*AI31</f>
        <v>0.15464967071114191</v>
      </c>
      <c r="AI31">
        <v>8.0000000000000002E-3</v>
      </c>
      <c r="AN31">
        <f>AN30*AP31</f>
        <v>0.38005073081814289</v>
      </c>
      <c r="AP31">
        <v>8.0000000000000002E-3</v>
      </c>
    </row>
    <row r="32" spans="1:42" x14ac:dyDescent="0.2">
      <c r="S32">
        <v>1</v>
      </c>
      <c r="Z32">
        <f>Z30*AB32</f>
        <v>1.84E-2</v>
      </c>
      <c r="AB32">
        <v>8.0000000000000002E-3</v>
      </c>
      <c r="AG32">
        <f>AG30*AI32</f>
        <v>0.15464967071114191</v>
      </c>
      <c r="AI32">
        <v>8.0000000000000002E-3</v>
      </c>
      <c r="AN32">
        <f>AN30*AP32</f>
        <v>0.38005073081814289</v>
      </c>
      <c r="AP32">
        <v>8.0000000000000002E-3</v>
      </c>
    </row>
    <row r="33" spans="19:42" x14ac:dyDescent="0.2">
      <c r="S33" t="s">
        <v>6</v>
      </c>
    </row>
    <row r="34" spans="19:42" x14ac:dyDescent="0.2">
      <c r="S34">
        <v>1</v>
      </c>
      <c r="X34" t="s">
        <v>47</v>
      </c>
      <c r="Y34" t="s">
        <v>48</v>
      </c>
      <c r="Z34" s="2" t="s">
        <v>50</v>
      </c>
      <c r="AA34" s="2" t="s">
        <v>49</v>
      </c>
      <c r="AE34" t="s">
        <v>47</v>
      </c>
      <c r="AF34" t="s">
        <v>48</v>
      </c>
      <c r="AG34" s="2" t="s">
        <v>50</v>
      </c>
      <c r="AH34" s="2" t="s">
        <v>49</v>
      </c>
      <c r="AL34" t="s">
        <v>47</v>
      </c>
      <c r="AM34" t="s">
        <v>48</v>
      </c>
      <c r="AN34" s="2" t="s">
        <v>50</v>
      </c>
      <c r="AO34" s="2" t="s">
        <v>49</v>
      </c>
    </row>
    <row r="35" spans="19:42" x14ac:dyDescent="0.2">
      <c r="S35" t="s">
        <v>6</v>
      </c>
      <c r="W35" t="s">
        <v>74</v>
      </c>
      <c r="X35" s="3">
        <v>1.3434341314870699</v>
      </c>
      <c r="Y35" s="3">
        <v>3.2494481997927833</v>
      </c>
      <c r="Z35" s="3">
        <v>5.5845526438198867</v>
      </c>
      <c r="AA35" s="3">
        <v>5.8988137875186801</v>
      </c>
      <c r="AD35" t="s">
        <v>75</v>
      </c>
      <c r="AE35" s="3">
        <v>0.93831079396539008</v>
      </c>
      <c r="AF35" s="3">
        <v>3.5615592797411781</v>
      </c>
      <c r="AG35" s="3">
        <v>4.7982350432496403</v>
      </c>
      <c r="AH35" s="3">
        <v>4.7588279438598997</v>
      </c>
      <c r="AK35" t="s">
        <v>76</v>
      </c>
      <c r="AL35" s="3">
        <v>0.27090546004486421</v>
      </c>
      <c r="AM35" s="3">
        <v>1.3936521310246386</v>
      </c>
      <c r="AN35" s="3">
        <v>1.7451693745683301</v>
      </c>
      <c r="AO35" s="3">
        <v>1.7</v>
      </c>
    </row>
    <row r="36" spans="19:42" x14ac:dyDescent="0.2">
      <c r="S36">
        <v>1</v>
      </c>
      <c r="Z36">
        <f>Z35*AB36</f>
        <v>4.4676421150559094E-2</v>
      </c>
      <c r="AB36">
        <v>8.0000000000000002E-3</v>
      </c>
      <c r="AG36">
        <f>AG35*AI36</f>
        <v>3.8385880345997124E-2</v>
      </c>
      <c r="AI36">
        <v>8.0000000000000002E-3</v>
      </c>
      <c r="AN36">
        <f>AN35*AP36</f>
        <v>1.3961354996546641E-2</v>
      </c>
      <c r="AP36">
        <v>8.0000000000000002E-3</v>
      </c>
    </row>
    <row r="37" spans="19:42" x14ac:dyDescent="0.2">
      <c r="S37" t="s">
        <v>6</v>
      </c>
      <c r="Z37">
        <f>Z35*AB37</f>
        <v>4.4676421150559094E-2</v>
      </c>
      <c r="AB37">
        <v>8.0000000000000002E-3</v>
      </c>
      <c r="AG37">
        <f>AG35*AI37</f>
        <v>3.8385880345997124E-2</v>
      </c>
      <c r="AI37">
        <v>8.0000000000000002E-3</v>
      </c>
      <c r="AN37">
        <f>AN35*AP37</f>
        <v>1.3961354996546641E-2</v>
      </c>
      <c r="AP37">
        <v>8.0000000000000002E-3</v>
      </c>
    </row>
    <row r="38" spans="19:42" x14ac:dyDescent="0.2">
      <c r="S38">
        <v>1</v>
      </c>
    </row>
    <row r="39" spans="19:42" x14ac:dyDescent="0.2">
      <c r="S39" t="s">
        <v>6</v>
      </c>
    </row>
    <row r="40" spans="19:42" x14ac:dyDescent="0.2">
      <c r="S40">
        <v>1</v>
      </c>
    </row>
    <row r="41" spans="19:42" x14ac:dyDescent="0.2">
      <c r="S41" t="s">
        <v>6</v>
      </c>
    </row>
    <row r="42" spans="19:42" x14ac:dyDescent="0.2">
      <c r="S42">
        <v>1</v>
      </c>
    </row>
    <row r="43" spans="19:42" x14ac:dyDescent="0.2">
      <c r="S43" t="s">
        <v>6</v>
      </c>
    </row>
    <row r="44" spans="19:42" x14ac:dyDescent="0.2">
      <c r="S44">
        <v>1</v>
      </c>
    </row>
    <row r="45" spans="19:42" x14ac:dyDescent="0.2">
      <c r="S45" t="s">
        <v>6</v>
      </c>
    </row>
    <row r="46" spans="19:42" x14ac:dyDescent="0.2">
      <c r="S46">
        <v>1</v>
      </c>
    </row>
    <row r="47" spans="19:42" x14ac:dyDescent="0.2">
      <c r="S47" t="s">
        <v>6</v>
      </c>
    </row>
    <row r="48" spans="19:42" x14ac:dyDescent="0.2">
      <c r="S48">
        <v>1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1F19-4345-3245-8C57-301355C88E93}">
  <dimension ref="A1:AL37"/>
  <sheetViews>
    <sheetView topLeftCell="G1" zoomScale="59" workbookViewId="0">
      <selection activeCell="Z48" sqref="Z48"/>
    </sheetView>
  </sheetViews>
  <sheetFormatPr baseColWidth="10" defaultRowHeight="16" x14ac:dyDescent="0.2"/>
  <cols>
    <col min="3" max="3" width="18.6640625" customWidth="1"/>
    <col min="17" max="17" width="12.5" customWidth="1"/>
  </cols>
  <sheetData>
    <row r="1" spans="1:28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Q1" t="s">
        <v>6</v>
      </c>
      <c r="R1" t="s">
        <v>47</v>
      </c>
      <c r="S1" t="s">
        <v>48</v>
      </c>
      <c r="T1" s="2" t="s">
        <v>50</v>
      </c>
      <c r="U1" s="2" t="s">
        <v>49</v>
      </c>
      <c r="Y1" t="s">
        <v>47</v>
      </c>
      <c r="Z1" t="s">
        <v>48</v>
      </c>
      <c r="AA1" s="2" t="s">
        <v>50</v>
      </c>
      <c r="AB1" s="2" t="s">
        <v>49</v>
      </c>
    </row>
    <row r="2" spans="1:28" x14ac:dyDescent="0.2">
      <c r="A2" t="s">
        <v>23</v>
      </c>
      <c r="B2">
        <v>10769.782437</v>
      </c>
      <c r="D2">
        <v>7044.4709478000004</v>
      </c>
      <c r="E2">
        <v>4860.3479010000001</v>
      </c>
      <c r="H2" t="s">
        <v>23</v>
      </c>
      <c r="I2">
        <f>B2/B2</f>
        <v>1</v>
      </c>
      <c r="K2">
        <f>B2/D2</f>
        <v>1.5288277170570801</v>
      </c>
      <c r="L2">
        <f>B2/E2</f>
        <v>2.2158459962884867</v>
      </c>
      <c r="P2" t="s">
        <v>0</v>
      </c>
      <c r="Q2">
        <v>1</v>
      </c>
      <c r="R2">
        <v>0.12</v>
      </c>
      <c r="S2">
        <v>1.5288277170570801</v>
      </c>
      <c r="T2">
        <v>2.2158459962884867</v>
      </c>
      <c r="U2">
        <v>1.9158459962884899</v>
      </c>
      <c r="W2" t="s">
        <v>65</v>
      </c>
      <c r="X2" t="s">
        <v>0</v>
      </c>
      <c r="Y2">
        <v>0.12</v>
      </c>
      <c r="Z2">
        <v>1.5288277170570801</v>
      </c>
      <c r="AA2">
        <v>2.2158459962884867</v>
      </c>
      <c r="AB2">
        <v>1.9158459962884899</v>
      </c>
    </row>
    <row r="3" spans="1:28" x14ac:dyDescent="0.2">
      <c r="A3" t="s">
        <v>24</v>
      </c>
      <c r="B3">
        <v>17575.556282000001</v>
      </c>
      <c r="D3">
        <v>31253.396484600002</v>
      </c>
      <c r="E3">
        <v>7495.2810059999993</v>
      </c>
      <c r="H3" t="s">
        <v>24</v>
      </c>
      <c r="I3">
        <f t="shared" ref="I3:I25" si="0">B3/B3</f>
        <v>1</v>
      </c>
      <c r="K3">
        <f t="shared" ref="K3:K25" si="1">B3/D3</f>
        <v>0.56235667987830673</v>
      </c>
      <c r="L3">
        <f t="shared" ref="L3:L25" si="2">B3/E3</f>
        <v>2.3448829027131479</v>
      </c>
      <c r="P3" t="s">
        <v>1</v>
      </c>
      <c r="Q3">
        <v>1</v>
      </c>
      <c r="R3">
        <v>0.21013974939472599</v>
      </c>
      <c r="S3">
        <v>4.8642005686156127</v>
      </c>
      <c r="T3">
        <v>15.652497386552445</v>
      </c>
      <c r="U3">
        <v>14.652497386552399</v>
      </c>
      <c r="W3" t="s">
        <v>71</v>
      </c>
      <c r="X3" t="s">
        <v>1</v>
      </c>
      <c r="Y3">
        <v>0.1</v>
      </c>
      <c r="Z3">
        <v>0.56235667987830673</v>
      </c>
      <c r="AA3">
        <v>2.3448829027131479</v>
      </c>
      <c r="AB3">
        <v>2.1</v>
      </c>
    </row>
    <row r="4" spans="1:28" x14ac:dyDescent="0.2">
      <c r="A4" t="s">
        <v>25</v>
      </c>
      <c r="B4">
        <v>1089.06375</v>
      </c>
      <c r="D4">
        <v>223.89367679999998</v>
      </c>
      <c r="E4">
        <v>69.577635000000001</v>
      </c>
      <c r="H4" t="s">
        <v>25</v>
      </c>
      <c r="I4">
        <f t="shared" si="0"/>
        <v>1</v>
      </c>
      <c r="K4">
        <f t="shared" si="1"/>
        <v>4.8642005686156127</v>
      </c>
      <c r="L4">
        <f t="shared" si="2"/>
        <v>15.652497386552445</v>
      </c>
      <c r="P4" t="s">
        <v>2</v>
      </c>
      <c r="Q4">
        <v>1</v>
      </c>
      <c r="R4">
        <v>2.1131038917517899</v>
      </c>
      <c r="S4">
        <v>15.2700545158045</v>
      </c>
      <c r="T4">
        <v>23.79957964847739</v>
      </c>
      <c r="U4">
        <v>23.9995796484774</v>
      </c>
      <c r="W4" t="s">
        <v>66</v>
      </c>
      <c r="X4" t="s">
        <v>2</v>
      </c>
      <c r="Y4">
        <v>0.21013974939472599</v>
      </c>
      <c r="Z4">
        <v>4.8642005686156127</v>
      </c>
      <c r="AA4">
        <v>15.652497386552445</v>
      </c>
      <c r="AB4">
        <v>14.652497386552399</v>
      </c>
    </row>
    <row r="5" spans="1:28" x14ac:dyDescent="0.2">
      <c r="A5" t="s">
        <v>26</v>
      </c>
      <c r="B5">
        <v>2640.370774</v>
      </c>
      <c r="D5">
        <v>1274.6096190000001</v>
      </c>
      <c r="E5">
        <v>370.03314899999998</v>
      </c>
      <c r="H5" t="s">
        <v>26</v>
      </c>
      <c r="I5">
        <f t="shared" si="0"/>
        <v>1</v>
      </c>
      <c r="K5">
        <f t="shared" si="1"/>
        <v>2.0715132968096639</v>
      </c>
      <c r="L5">
        <f t="shared" si="2"/>
        <v>7.1354979442666098</v>
      </c>
      <c r="P5" t="s">
        <v>3</v>
      </c>
      <c r="Q5">
        <v>1</v>
      </c>
      <c r="R5">
        <v>10.7371908607946</v>
      </c>
      <c r="S5">
        <v>18.9545938965062</v>
      </c>
      <c r="T5">
        <v>51.058894927724289</v>
      </c>
      <c r="U5">
        <v>48.058894927724303</v>
      </c>
      <c r="W5" t="s">
        <v>72</v>
      </c>
      <c r="X5" t="s">
        <v>3</v>
      </c>
      <c r="Y5">
        <v>1.1000000000000001</v>
      </c>
      <c r="Z5">
        <v>5.4410200811292304</v>
      </c>
      <c r="AA5">
        <v>8.2583628802204547</v>
      </c>
      <c r="AB5">
        <v>8.01</v>
      </c>
    </row>
    <row r="6" spans="1:28" x14ac:dyDescent="0.2">
      <c r="A6" t="s">
        <v>27</v>
      </c>
      <c r="B6">
        <v>289.70998700000001</v>
      </c>
      <c r="D6">
        <v>788.66290259999994</v>
      </c>
      <c r="E6">
        <v>219.45140100000003</v>
      </c>
      <c r="H6" t="s">
        <v>27</v>
      </c>
      <c r="I6">
        <f t="shared" si="0"/>
        <v>1</v>
      </c>
      <c r="K6">
        <f t="shared" si="1"/>
        <v>0.36734324138349556</v>
      </c>
      <c r="L6">
        <f t="shared" si="2"/>
        <v>1.320155559180048</v>
      </c>
      <c r="P6" t="s">
        <v>4</v>
      </c>
      <c r="Q6">
        <v>1</v>
      </c>
      <c r="R6">
        <v>1.3434341314870699</v>
      </c>
      <c r="S6">
        <v>1.3746219656452694</v>
      </c>
      <c r="T6">
        <v>4.1396934455444683</v>
      </c>
      <c r="U6">
        <v>4.7396934455444697</v>
      </c>
      <c r="W6" t="s">
        <v>67</v>
      </c>
      <c r="X6" t="s">
        <v>4</v>
      </c>
      <c r="Y6">
        <v>2.1131038917517899</v>
      </c>
      <c r="Z6">
        <v>15.2700545158045</v>
      </c>
      <c r="AA6">
        <v>23.79957964847739</v>
      </c>
      <c r="AB6">
        <v>23.9995796484774</v>
      </c>
    </row>
    <row r="7" spans="1:28" x14ac:dyDescent="0.2">
      <c r="A7" t="s">
        <v>28</v>
      </c>
      <c r="B7">
        <v>385.29597999999999</v>
      </c>
      <c r="D7">
        <v>602.84069820000002</v>
      </c>
      <c r="E7">
        <v>292.96282200000002</v>
      </c>
      <c r="H7" t="s">
        <v>28</v>
      </c>
      <c r="I7">
        <f t="shared" si="0"/>
        <v>1</v>
      </c>
      <c r="K7">
        <f t="shared" si="1"/>
        <v>0.63913398871449978</v>
      </c>
      <c r="L7">
        <f t="shared" si="2"/>
        <v>1.3151702232032703</v>
      </c>
      <c r="P7" t="s">
        <v>5</v>
      </c>
      <c r="Q7">
        <v>1</v>
      </c>
      <c r="R7">
        <v>0.63831079396539003</v>
      </c>
      <c r="S7">
        <v>1.3428206817381831</v>
      </c>
      <c r="T7">
        <v>3.6285582845570037</v>
      </c>
      <c r="U7">
        <v>3.8285582845569999</v>
      </c>
      <c r="W7" t="s">
        <v>68</v>
      </c>
      <c r="X7" t="s">
        <v>5</v>
      </c>
      <c r="Y7">
        <v>10.7371908607946</v>
      </c>
      <c r="Z7">
        <v>18.9545938965062</v>
      </c>
      <c r="AA7">
        <v>51.058894927724289</v>
      </c>
      <c r="AB7">
        <v>48.058894927724303</v>
      </c>
    </row>
    <row r="8" spans="1:28" x14ac:dyDescent="0.2">
      <c r="A8" t="s">
        <v>29</v>
      </c>
      <c r="B8">
        <v>68.531605999999996</v>
      </c>
      <c r="D8">
        <v>97.332021000000012</v>
      </c>
      <c r="E8">
        <v>41.794415999999998</v>
      </c>
      <c r="H8" t="s">
        <v>29</v>
      </c>
      <c r="I8">
        <f t="shared" si="0"/>
        <v>1</v>
      </c>
      <c r="K8">
        <f t="shared" si="1"/>
        <v>0.70410133577725653</v>
      </c>
      <c r="L8">
        <f t="shared" si="2"/>
        <v>1.6397311545159525</v>
      </c>
      <c r="R8" s="3">
        <f>AVERAGE(R2:R7)</f>
        <v>2.527029904565596</v>
      </c>
      <c r="S8" s="3">
        <f>AVERAGE(S2:S7)</f>
        <v>7.2225198908944739</v>
      </c>
      <c r="T8" s="3">
        <f>AVERAGE(T2:T7)</f>
        <v>16.749178281524014</v>
      </c>
      <c r="U8" s="3">
        <f>AVERAGE(U2:U7)</f>
        <v>16.199178281524013</v>
      </c>
      <c r="W8" t="s">
        <v>69</v>
      </c>
      <c r="X8" t="s">
        <v>74</v>
      </c>
      <c r="Y8">
        <v>1.3434341314870699</v>
      </c>
      <c r="Z8">
        <v>1.3746219656452694</v>
      </c>
      <c r="AA8">
        <v>4.1396934455444683</v>
      </c>
      <c r="AB8">
        <v>4.7396934455444697</v>
      </c>
    </row>
    <row r="9" spans="1:28" x14ac:dyDescent="0.2">
      <c r="A9" t="s">
        <v>30</v>
      </c>
      <c r="B9">
        <v>16.392329</v>
      </c>
      <c r="D9">
        <v>57.196337399999997</v>
      </c>
      <c r="E9">
        <v>42.491904000000005</v>
      </c>
      <c r="H9" t="s">
        <v>30</v>
      </c>
      <c r="I9">
        <f t="shared" si="0"/>
        <v>1</v>
      </c>
      <c r="K9">
        <f t="shared" si="1"/>
        <v>0.286597529582375</v>
      </c>
      <c r="L9">
        <f t="shared" si="2"/>
        <v>0.38577534675781999</v>
      </c>
      <c r="W9" t="s">
        <v>70</v>
      </c>
      <c r="X9" t="s">
        <v>75</v>
      </c>
      <c r="Y9">
        <v>0.63831079396539003</v>
      </c>
      <c r="Z9">
        <v>1.3428206817381831</v>
      </c>
      <c r="AA9">
        <v>3.6285582845570037</v>
      </c>
      <c r="AB9">
        <v>3.8285582845569999</v>
      </c>
    </row>
    <row r="10" spans="1:28" x14ac:dyDescent="0.2">
      <c r="A10" t="s">
        <v>31</v>
      </c>
      <c r="B10">
        <v>166639.23224499999</v>
      </c>
      <c r="D10">
        <v>131808.06562500002</v>
      </c>
      <c r="E10">
        <v>107925.609375</v>
      </c>
      <c r="H10" t="s">
        <v>31</v>
      </c>
      <c r="I10">
        <f t="shared" si="0"/>
        <v>1</v>
      </c>
      <c r="K10">
        <f t="shared" si="1"/>
        <v>1.2642567164220151</v>
      </c>
      <c r="L10">
        <f t="shared" si="2"/>
        <v>1.5440193778845641</v>
      </c>
      <c r="W10" t="s">
        <v>73</v>
      </c>
      <c r="X10" t="s">
        <v>76</v>
      </c>
      <c r="Y10">
        <v>0.23</v>
      </c>
      <c r="Z10">
        <v>0.44215942120883484</v>
      </c>
      <c r="AA10">
        <v>1.8526465969904899</v>
      </c>
      <c r="AB10">
        <v>1.7</v>
      </c>
    </row>
    <row r="11" spans="1:28" x14ac:dyDescent="0.2">
      <c r="A11" t="s">
        <v>32</v>
      </c>
      <c r="B11">
        <v>490.52297099999998</v>
      </c>
      <c r="D11">
        <v>90.152758800000001</v>
      </c>
      <c r="E11">
        <v>59.397120000000001</v>
      </c>
      <c r="H11" t="s">
        <v>32</v>
      </c>
      <c r="I11">
        <f t="shared" si="0"/>
        <v>1</v>
      </c>
      <c r="K11">
        <f t="shared" si="1"/>
        <v>5.4410200811292304</v>
      </c>
      <c r="L11">
        <f t="shared" si="2"/>
        <v>8.2583628802204547</v>
      </c>
      <c r="R11">
        <f>T2/R2</f>
        <v>18.465383302404057</v>
      </c>
      <c r="S11">
        <f>T2/S2</f>
        <v>1.449375865943799</v>
      </c>
    </row>
    <row r="12" spans="1:28" x14ac:dyDescent="0.2">
      <c r="A12" t="s">
        <v>33</v>
      </c>
      <c r="B12">
        <v>18051.209461999999</v>
      </c>
      <c r="D12">
        <v>936.74926799999992</v>
      </c>
      <c r="E12">
        <v>758.46757500000001</v>
      </c>
      <c r="H12" t="s">
        <v>33</v>
      </c>
      <c r="I12">
        <f t="shared" si="0"/>
        <v>1</v>
      </c>
      <c r="K12">
        <f t="shared" si="1"/>
        <v>19.270054515804542</v>
      </c>
      <c r="L12">
        <f t="shared" si="2"/>
        <v>23.79957964847739</v>
      </c>
      <c r="R12">
        <f t="shared" ref="R12:R18" si="3">T3/R3</f>
        <v>74.486133307177568</v>
      </c>
      <c r="S12">
        <f t="shared" ref="S12:S17" si="4">T3/S3</f>
        <v>3.2178971992939966</v>
      </c>
    </row>
    <row r="13" spans="1:28" x14ac:dyDescent="0.2">
      <c r="A13" t="s">
        <v>34</v>
      </c>
      <c r="B13">
        <v>9739.6873030000006</v>
      </c>
      <c r="D13">
        <v>11712.897948600001</v>
      </c>
      <c r="E13">
        <v>3634.9204094999996</v>
      </c>
      <c r="H13" t="s">
        <v>34</v>
      </c>
      <c r="I13">
        <f t="shared" si="0"/>
        <v>1</v>
      </c>
      <c r="K13">
        <f t="shared" si="1"/>
        <v>0.83153523113928862</v>
      </c>
      <c r="L13">
        <f t="shared" si="2"/>
        <v>2.6794774591336212</v>
      </c>
      <c r="R13">
        <f t="shared" si="3"/>
        <v>11.26285354041312</v>
      </c>
      <c r="S13">
        <f t="shared" si="4"/>
        <v>1.5585785645915564</v>
      </c>
    </row>
    <row r="14" spans="1:28" x14ac:dyDescent="0.2">
      <c r="A14" t="s">
        <v>35</v>
      </c>
      <c r="B14">
        <v>29851.229642999999</v>
      </c>
      <c r="D14">
        <v>1495.9577628</v>
      </c>
      <c r="E14">
        <v>584.64308099999994</v>
      </c>
      <c r="H14" t="s">
        <v>35</v>
      </c>
      <c r="I14">
        <f t="shared" si="0"/>
        <v>1</v>
      </c>
      <c r="K14">
        <f t="shared" si="1"/>
        <v>19.954593896506232</v>
      </c>
      <c r="L14">
        <f t="shared" si="2"/>
        <v>51.058894927724289</v>
      </c>
      <c r="R14">
        <f t="shared" si="3"/>
        <v>4.7553308486076125</v>
      </c>
      <c r="S14">
        <f t="shared" si="4"/>
        <v>2.6937477640782221</v>
      </c>
    </row>
    <row r="15" spans="1:28" x14ac:dyDescent="0.2">
      <c r="A15" t="s">
        <v>36</v>
      </c>
      <c r="B15">
        <v>232.381146</v>
      </c>
      <c r="D15">
        <v>590.82484139999997</v>
      </c>
      <c r="E15">
        <v>192.91358250000002</v>
      </c>
      <c r="H15" t="s">
        <v>36</v>
      </c>
      <c r="I15">
        <f t="shared" si="0"/>
        <v>1</v>
      </c>
      <c r="K15">
        <f t="shared" si="1"/>
        <v>0.39331647844961454</v>
      </c>
      <c r="L15">
        <f t="shared" si="2"/>
        <v>1.2045867532422192</v>
      </c>
      <c r="R15">
        <f t="shared" si="3"/>
        <v>3.0814264343292899</v>
      </c>
      <c r="S15">
        <f t="shared" si="4"/>
        <v>3.0115141100638754</v>
      </c>
    </row>
    <row r="16" spans="1:28" x14ac:dyDescent="0.2">
      <c r="A16" t="s">
        <v>37</v>
      </c>
      <c r="B16">
        <v>125.153614</v>
      </c>
      <c r="D16">
        <v>150.51939659999999</v>
      </c>
      <c r="E16">
        <v>47.336110500000004</v>
      </c>
      <c r="H16" t="s">
        <v>37</v>
      </c>
      <c r="I16">
        <f t="shared" si="0"/>
        <v>1</v>
      </c>
      <c r="K16">
        <f t="shared" si="1"/>
        <v>0.83147831327407817</v>
      </c>
      <c r="L16">
        <f t="shared" si="2"/>
        <v>2.6439353102321324</v>
      </c>
      <c r="R16">
        <f t="shared" si="3"/>
        <v>5.6846262335863749</v>
      </c>
      <c r="S16">
        <f t="shared" si="4"/>
        <v>2.702191241097136</v>
      </c>
    </row>
    <row r="17" spans="1:38" x14ac:dyDescent="0.2">
      <c r="A17" t="s">
        <v>38</v>
      </c>
      <c r="B17">
        <v>27.119147000000002</v>
      </c>
      <c r="D17">
        <v>90.124702200000002</v>
      </c>
      <c r="E17">
        <v>44.543998500000001</v>
      </c>
      <c r="H17" t="s">
        <v>38</v>
      </c>
      <c r="I17">
        <f t="shared" si="0"/>
        <v>1</v>
      </c>
      <c r="K17">
        <f t="shared" si="1"/>
        <v>0.3009069249384993</v>
      </c>
      <c r="L17">
        <f t="shared" si="2"/>
        <v>0.60881707779331939</v>
      </c>
      <c r="R17">
        <f t="shared" si="3"/>
        <v>6.6280095266238046</v>
      </c>
      <c r="S17">
        <f t="shared" si="4"/>
        <v>2.3190214128229574</v>
      </c>
    </row>
    <row r="18" spans="1:38" x14ac:dyDescent="0.2">
      <c r="A18" t="s">
        <v>39</v>
      </c>
      <c r="B18">
        <v>410.39421900000002</v>
      </c>
      <c r="D18">
        <v>607.97949840000001</v>
      </c>
      <c r="E18">
        <v>176.49589950000001</v>
      </c>
      <c r="H18" t="s">
        <v>39</v>
      </c>
      <c r="I18">
        <f t="shared" si="0"/>
        <v>1</v>
      </c>
      <c r="K18">
        <f t="shared" si="1"/>
        <v>0.67501325304557347</v>
      </c>
      <c r="L18">
        <f t="shared" si="2"/>
        <v>2.325233731563265</v>
      </c>
      <c r="R18" t="e">
        <f t="shared" si="3"/>
        <v>#DIV/0!</v>
      </c>
    </row>
    <row r="19" spans="1:38" x14ac:dyDescent="0.2">
      <c r="A19" t="s">
        <v>40</v>
      </c>
      <c r="B19">
        <v>10836.878296999999</v>
      </c>
      <c r="D19">
        <v>10338.599707199999</v>
      </c>
      <c r="E19">
        <v>6534.0659175000001</v>
      </c>
      <c r="H19" t="s">
        <v>40</v>
      </c>
      <c r="I19">
        <f t="shared" si="0"/>
        <v>1</v>
      </c>
      <c r="K19">
        <f t="shared" si="1"/>
        <v>1.0481959456707652</v>
      </c>
      <c r="L19">
        <f t="shared" si="2"/>
        <v>1.6585198915694899</v>
      </c>
    </row>
    <row r="20" spans="1:38" x14ac:dyDescent="0.2">
      <c r="A20" t="s">
        <v>41</v>
      </c>
      <c r="B20">
        <v>2134.8324459999999</v>
      </c>
      <c r="D20">
        <v>1553.0323968</v>
      </c>
      <c r="E20">
        <v>515.69819699999994</v>
      </c>
      <c r="H20" t="s">
        <v>41</v>
      </c>
      <c r="I20">
        <f t="shared" si="0"/>
        <v>1</v>
      </c>
      <c r="K20">
        <f t="shared" si="1"/>
        <v>1.3746219656452694</v>
      </c>
      <c r="L20">
        <f t="shared" si="2"/>
        <v>4.1396934455444683</v>
      </c>
      <c r="V20" t="s">
        <v>47</v>
      </c>
      <c r="W20" t="s">
        <v>48</v>
      </c>
      <c r="X20" s="2" t="s">
        <v>50</v>
      </c>
      <c r="Y20" s="2" t="s">
        <v>49</v>
      </c>
      <c r="AB20" t="s">
        <v>47</v>
      </c>
      <c r="AC20" t="s">
        <v>48</v>
      </c>
      <c r="AD20" s="2" t="s">
        <v>50</v>
      </c>
      <c r="AE20" s="2" t="s">
        <v>49</v>
      </c>
      <c r="AH20" t="s">
        <v>47</v>
      </c>
      <c r="AI20" t="s">
        <v>48</v>
      </c>
      <c r="AJ20" s="2" t="s">
        <v>50</v>
      </c>
      <c r="AK20" s="2" t="s">
        <v>49</v>
      </c>
    </row>
    <row r="21" spans="1:38" x14ac:dyDescent="0.2">
      <c r="A21" t="s">
        <v>42</v>
      </c>
      <c r="B21">
        <v>1131.2308250000001</v>
      </c>
      <c r="D21">
        <v>2603.7505368000002</v>
      </c>
      <c r="E21">
        <v>590.23841849999997</v>
      </c>
      <c r="H21" t="s">
        <v>42</v>
      </c>
      <c r="I21">
        <f t="shared" si="0"/>
        <v>1</v>
      </c>
      <c r="K21">
        <f t="shared" si="1"/>
        <v>0.43446206117360175</v>
      </c>
      <c r="L21">
        <f t="shared" si="2"/>
        <v>1.9165658987004761</v>
      </c>
      <c r="U21" t="s">
        <v>0</v>
      </c>
      <c r="V21">
        <v>0.12</v>
      </c>
      <c r="W21">
        <v>1.5288277170570801</v>
      </c>
      <c r="X21">
        <v>2.2158459962884867</v>
      </c>
      <c r="Y21">
        <v>1.9158459962884899</v>
      </c>
      <c r="Z21">
        <v>1.2E-2</v>
      </c>
      <c r="AA21" t="s">
        <v>1</v>
      </c>
      <c r="AB21">
        <v>0.1</v>
      </c>
      <c r="AC21">
        <v>0.56235667987830673</v>
      </c>
      <c r="AD21">
        <v>2.3448829027131479</v>
      </c>
      <c r="AE21">
        <v>2.1</v>
      </c>
      <c r="AF21">
        <v>2E-3</v>
      </c>
      <c r="AG21" t="s">
        <v>2</v>
      </c>
      <c r="AH21">
        <v>0.21013974939472599</v>
      </c>
      <c r="AI21">
        <v>4.8642005686156127</v>
      </c>
      <c r="AJ21">
        <v>15.652497386552445</v>
      </c>
      <c r="AK21">
        <v>14.652497386552399</v>
      </c>
      <c r="AL21">
        <v>0.04</v>
      </c>
    </row>
    <row r="22" spans="1:38" x14ac:dyDescent="0.2">
      <c r="A22" t="s">
        <v>43</v>
      </c>
      <c r="B22">
        <v>303.055746</v>
      </c>
      <c r="D22">
        <v>770.15714759999992</v>
      </c>
      <c r="E22">
        <v>244.35147899999998</v>
      </c>
      <c r="H22" t="s">
        <v>43</v>
      </c>
      <c r="I22">
        <f t="shared" si="0"/>
        <v>1</v>
      </c>
      <c r="K22">
        <f t="shared" si="1"/>
        <v>0.39349858265212057</v>
      </c>
      <c r="L22">
        <f t="shared" si="2"/>
        <v>1.2402451879573031</v>
      </c>
      <c r="X22">
        <f>X21*Z21</f>
        <v>2.6590151955461841E-2</v>
      </c>
      <c r="Z22">
        <v>2.4E-2</v>
      </c>
      <c r="AD22">
        <f>AD21*AF21</f>
        <v>4.6897658054262962E-3</v>
      </c>
      <c r="AF22">
        <v>2E-3</v>
      </c>
      <c r="AJ22">
        <f>AJ21*AL21</f>
        <v>0.62609989546209788</v>
      </c>
      <c r="AL22">
        <v>0.12</v>
      </c>
    </row>
    <row r="23" spans="1:38" x14ac:dyDescent="0.2">
      <c r="A23" t="s">
        <v>44</v>
      </c>
      <c r="B23">
        <v>395.136099</v>
      </c>
      <c r="D23">
        <v>676.63135980000004</v>
      </c>
      <c r="E23">
        <v>169.436016</v>
      </c>
      <c r="H23" t="s">
        <v>44</v>
      </c>
      <c r="I23">
        <f t="shared" si="0"/>
        <v>1</v>
      </c>
      <c r="K23">
        <f t="shared" si="1"/>
        <v>0.58397544434948312</v>
      </c>
      <c r="L23">
        <f t="shared" si="2"/>
        <v>2.3320667490198779</v>
      </c>
      <c r="X23">
        <f>X22*Z22</f>
        <v>6.3816364693108419E-4</v>
      </c>
      <c r="AD23">
        <f>AD22*AF22</f>
        <v>9.3795316108525927E-6</v>
      </c>
      <c r="AJ23">
        <f>AJ22*AL22</f>
        <v>7.5131987455451743E-2</v>
      </c>
    </row>
    <row r="24" spans="1:38" x14ac:dyDescent="0.2">
      <c r="A24" t="s">
        <v>45</v>
      </c>
      <c r="B24">
        <v>183.89649499999999</v>
      </c>
      <c r="D24">
        <v>136.9479168</v>
      </c>
      <c r="E24">
        <v>50.680319999999995</v>
      </c>
      <c r="H24" t="s">
        <v>45</v>
      </c>
      <c r="I24">
        <f t="shared" si="0"/>
        <v>1</v>
      </c>
      <c r="K24">
        <f t="shared" si="1"/>
        <v>1.3428206817381831</v>
      </c>
      <c r="L24">
        <f t="shared" si="2"/>
        <v>3.6285582845570037</v>
      </c>
    </row>
    <row r="25" spans="1:38" x14ac:dyDescent="0.2">
      <c r="A25" t="s">
        <v>46</v>
      </c>
      <c r="B25">
        <v>41.737993000000003</v>
      </c>
      <c r="D25">
        <v>94.395801599999999</v>
      </c>
      <c r="E25">
        <v>45.109247999999994</v>
      </c>
      <c r="H25" t="s">
        <v>46</v>
      </c>
      <c r="I25">
        <f t="shared" si="0"/>
        <v>1</v>
      </c>
      <c r="K25">
        <f t="shared" si="1"/>
        <v>0.44215942120883484</v>
      </c>
      <c r="L25">
        <f t="shared" si="2"/>
        <v>0.92526465969904903</v>
      </c>
    </row>
    <row r="26" spans="1:38" x14ac:dyDescent="0.2">
      <c r="V26" t="s">
        <v>47</v>
      </c>
      <c r="W26" t="s">
        <v>48</v>
      </c>
      <c r="X26" s="2" t="s">
        <v>50</v>
      </c>
      <c r="Y26" s="2" t="s">
        <v>49</v>
      </c>
      <c r="AB26" t="s">
        <v>47</v>
      </c>
      <c r="AC26" t="s">
        <v>48</v>
      </c>
      <c r="AD26" s="2" t="s">
        <v>50</v>
      </c>
      <c r="AE26" s="2" t="s">
        <v>49</v>
      </c>
      <c r="AH26" t="s">
        <v>47</v>
      </c>
      <c r="AI26" t="s">
        <v>48</v>
      </c>
      <c r="AJ26" s="2" t="s">
        <v>50</v>
      </c>
      <c r="AK26" s="2" t="s">
        <v>49</v>
      </c>
    </row>
    <row r="27" spans="1:38" x14ac:dyDescent="0.2">
      <c r="U27" t="s">
        <v>3</v>
      </c>
      <c r="V27">
        <v>1.1000000000000001</v>
      </c>
      <c r="W27">
        <v>5.4410200811292304</v>
      </c>
      <c r="X27">
        <v>8.2583628802204547</v>
      </c>
      <c r="Y27">
        <v>8.01</v>
      </c>
      <c r="Z27">
        <v>2E-3</v>
      </c>
      <c r="AA27" t="s">
        <v>4</v>
      </c>
      <c r="AB27">
        <v>2.1131038917517899</v>
      </c>
      <c r="AC27">
        <v>15.2700545158045</v>
      </c>
      <c r="AD27">
        <v>23.79957964847739</v>
      </c>
      <c r="AE27">
        <v>23.9995796484774</v>
      </c>
      <c r="AF27">
        <v>2E-3</v>
      </c>
      <c r="AG27" t="s">
        <v>5</v>
      </c>
      <c r="AH27">
        <v>10.7371908607946</v>
      </c>
      <c r="AI27">
        <v>18.9545938965062</v>
      </c>
      <c r="AJ27">
        <v>51.058894927724289</v>
      </c>
      <c r="AK27">
        <v>48.058894927724303</v>
      </c>
      <c r="AL27">
        <v>2E-3</v>
      </c>
    </row>
    <row r="28" spans="1:38" x14ac:dyDescent="0.2">
      <c r="X28">
        <f>X27*Z27</f>
        <v>1.6516725760440911E-2</v>
      </c>
      <c r="Z28">
        <v>2E-3</v>
      </c>
      <c r="AD28">
        <f>AD27*AF27</f>
        <v>4.7599159296954782E-2</v>
      </c>
      <c r="AF28">
        <v>2E-3</v>
      </c>
      <c r="AJ28">
        <f>AJ27*AL27</f>
        <v>0.10211778985544857</v>
      </c>
      <c r="AL28">
        <v>2E-3</v>
      </c>
    </row>
    <row r="29" spans="1:38" x14ac:dyDescent="0.2">
      <c r="X29">
        <f>X28*Z28</f>
        <v>3.3033451520881821E-5</v>
      </c>
      <c r="AD29">
        <f>AD28*AF28</f>
        <v>9.5198318593909561E-5</v>
      </c>
      <c r="AJ29">
        <f>AJ28*AL28</f>
        <v>2.0423557971089716E-4</v>
      </c>
    </row>
    <row r="34" spans="21:38" x14ac:dyDescent="0.2">
      <c r="V34" t="s">
        <v>47</v>
      </c>
      <c r="W34" t="s">
        <v>48</v>
      </c>
      <c r="X34" s="2" t="s">
        <v>50</v>
      </c>
      <c r="Y34" s="2" t="s">
        <v>49</v>
      </c>
      <c r="AB34" t="s">
        <v>47</v>
      </c>
      <c r="AC34" t="s">
        <v>48</v>
      </c>
      <c r="AD34" s="2" t="s">
        <v>50</v>
      </c>
      <c r="AE34" s="2" t="s">
        <v>49</v>
      </c>
      <c r="AH34" t="s">
        <v>47</v>
      </c>
      <c r="AI34" t="s">
        <v>48</v>
      </c>
      <c r="AJ34" s="2" t="s">
        <v>50</v>
      </c>
      <c r="AK34" s="2" t="s">
        <v>49</v>
      </c>
    </row>
    <row r="35" spans="21:38" x14ac:dyDescent="0.2">
      <c r="U35" t="s">
        <v>74</v>
      </c>
      <c r="V35">
        <v>1.3434341314870699</v>
      </c>
      <c r="W35">
        <v>1.3746219656452694</v>
      </c>
      <c r="X35">
        <v>4.1396934455444683</v>
      </c>
      <c r="Y35">
        <v>4.7396934455444697</v>
      </c>
      <c r="Z35">
        <v>2E-3</v>
      </c>
      <c r="AA35" t="s">
        <v>75</v>
      </c>
      <c r="AB35">
        <v>0.63831079396539003</v>
      </c>
      <c r="AC35">
        <v>1.3428206817381831</v>
      </c>
      <c r="AD35">
        <v>3.6285582845570037</v>
      </c>
      <c r="AE35">
        <v>3.8285582845569999</v>
      </c>
      <c r="AF35">
        <v>2E-3</v>
      </c>
      <c r="AG35" t="s">
        <v>76</v>
      </c>
      <c r="AH35">
        <v>0.23</v>
      </c>
      <c r="AI35">
        <v>0.44215942120883484</v>
      </c>
      <c r="AJ35">
        <v>1.8526465969904899</v>
      </c>
      <c r="AK35">
        <v>1.7</v>
      </c>
      <c r="AL35">
        <v>1.2999999999999999E-2</v>
      </c>
    </row>
    <row r="36" spans="21:38" x14ac:dyDescent="0.2">
      <c r="X36">
        <f>X35*Z35</f>
        <v>8.2793868910889367E-3</v>
      </c>
      <c r="Z36">
        <v>2E-3</v>
      </c>
      <c r="AD36">
        <f>AD35*AF35</f>
        <v>7.2571165691140077E-3</v>
      </c>
      <c r="AF36">
        <v>2E-3</v>
      </c>
      <c r="AJ36">
        <f>AJ35*AL35</f>
        <v>2.4084405760876369E-2</v>
      </c>
      <c r="AL36">
        <v>8.0000000000000002E-3</v>
      </c>
    </row>
    <row r="37" spans="21:38" x14ac:dyDescent="0.2">
      <c r="X37">
        <f>X36*Z36</f>
        <v>1.6558773782177875E-5</v>
      </c>
      <c r="AD37">
        <f>AD36*AF36</f>
        <v>1.4514233138228016E-5</v>
      </c>
      <c r="AJ37">
        <f>AJ36*AL36</f>
        <v>1.9267524608701097E-4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1112-6594-9144-80BF-D3596B14218B}">
  <dimension ref="A1:AM30"/>
  <sheetViews>
    <sheetView topLeftCell="B1" zoomScale="50" workbookViewId="0">
      <selection activeCell="AF16" sqref="AF16"/>
    </sheetView>
  </sheetViews>
  <sheetFormatPr baseColWidth="10" defaultRowHeight="16" x14ac:dyDescent="0.2"/>
  <cols>
    <col min="2" max="2" width="12.83203125" customWidth="1"/>
    <col min="3" max="3" width="13.33203125" customWidth="1"/>
    <col min="9" max="9" width="16.1640625" customWidth="1"/>
    <col min="16" max="16" width="12.33203125" customWidth="1"/>
  </cols>
  <sheetData>
    <row r="1" spans="1:39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O1" t="s">
        <v>6</v>
      </c>
      <c r="P1" t="s">
        <v>47</v>
      </c>
      <c r="Q1" t="s">
        <v>48</v>
      </c>
      <c r="R1" s="2" t="s">
        <v>50</v>
      </c>
      <c r="S1" s="2" t="s">
        <v>49</v>
      </c>
      <c r="W1" t="s">
        <v>47</v>
      </c>
      <c r="X1" t="s">
        <v>48</v>
      </c>
      <c r="Y1" s="2" t="s">
        <v>50</v>
      </c>
      <c r="Z1" s="2" t="s">
        <v>49</v>
      </c>
    </row>
    <row r="2" spans="1:39" x14ac:dyDescent="0.2">
      <c r="A2" t="s">
        <v>23</v>
      </c>
      <c r="B2">
        <v>6702.7611850000003</v>
      </c>
      <c r="D2">
        <v>4654.0952150000003</v>
      </c>
      <c r="E2">
        <v>3729.9660640000002</v>
      </c>
      <c r="G2" t="s">
        <v>23</v>
      </c>
      <c r="H2">
        <f>B2/B2</f>
        <v>1</v>
      </c>
      <c r="J2">
        <f>B2/D2</f>
        <v>1.4401856591582431</v>
      </c>
      <c r="K2">
        <f>B2/E2</f>
        <v>1.7970032622259269</v>
      </c>
      <c r="M2" t="s">
        <v>23</v>
      </c>
      <c r="N2" t="s">
        <v>0</v>
      </c>
      <c r="O2">
        <v>1</v>
      </c>
      <c r="P2">
        <v>0.15</v>
      </c>
      <c r="Q2">
        <v>1.4401856591582431</v>
      </c>
      <c r="R2">
        <v>1.7970032622259269</v>
      </c>
      <c r="S2">
        <v>1.59700326222593</v>
      </c>
      <c r="U2" t="s">
        <v>23</v>
      </c>
      <c r="V2" t="s">
        <v>0</v>
      </c>
      <c r="W2">
        <v>0.15</v>
      </c>
      <c r="X2">
        <v>1.4401856591582431</v>
      </c>
      <c r="Y2">
        <v>1.7970032622259269</v>
      </c>
      <c r="Z2">
        <v>1.59700326222593</v>
      </c>
    </row>
    <row r="3" spans="1:39" x14ac:dyDescent="0.2">
      <c r="A3" t="s">
        <v>24</v>
      </c>
      <c r="B3">
        <v>11889.224591</v>
      </c>
      <c r="D3">
        <v>20437.757812</v>
      </c>
      <c r="E3">
        <v>6322.9389650000003</v>
      </c>
      <c r="G3" t="s">
        <v>24</v>
      </c>
      <c r="H3">
        <f t="shared" ref="H3:H25" si="0">B3/B3</f>
        <v>1</v>
      </c>
      <c r="J3">
        <f t="shared" ref="J3:J25" si="1">B3/D3</f>
        <v>0.58172842150126958</v>
      </c>
      <c r="K3">
        <f t="shared" ref="K3:K25" si="2">B3/E3</f>
        <v>1.8803320191467323</v>
      </c>
      <c r="M3" t="s">
        <v>25</v>
      </c>
      <c r="N3" t="s">
        <v>1</v>
      </c>
      <c r="O3">
        <v>1</v>
      </c>
      <c r="P3">
        <v>0.21013974939472599</v>
      </c>
      <c r="Q3">
        <v>6.1465464644993402</v>
      </c>
      <c r="R3">
        <v>16.08307139862805</v>
      </c>
      <c r="S3">
        <v>16.8830713986281</v>
      </c>
      <c r="U3" t="s">
        <v>24</v>
      </c>
      <c r="V3" t="s">
        <v>1</v>
      </c>
      <c r="W3">
        <v>0.01</v>
      </c>
      <c r="X3">
        <v>0.58172842150126958</v>
      </c>
      <c r="Y3">
        <v>1.8803320191467323</v>
      </c>
      <c r="Z3">
        <v>1.91</v>
      </c>
    </row>
    <row r="4" spans="1:39" x14ac:dyDescent="0.2">
      <c r="A4" t="s">
        <v>25</v>
      </c>
      <c r="B4">
        <v>844.03958699999998</v>
      </c>
      <c r="D4">
        <v>137.319321</v>
      </c>
      <c r="E4">
        <v>52.48</v>
      </c>
      <c r="G4" t="s">
        <v>25</v>
      </c>
      <c r="H4">
        <f t="shared" si="0"/>
        <v>1</v>
      </c>
      <c r="J4">
        <f t="shared" si="1"/>
        <v>6.1465464644993402</v>
      </c>
      <c r="K4">
        <f t="shared" si="2"/>
        <v>16.08307139862805</v>
      </c>
      <c r="M4" t="s">
        <v>33</v>
      </c>
      <c r="N4" t="s">
        <v>2</v>
      </c>
      <c r="O4">
        <v>1</v>
      </c>
      <c r="P4">
        <v>2.1131038917517899</v>
      </c>
      <c r="Q4">
        <v>13.0015183696561</v>
      </c>
      <c r="R4">
        <v>22.499977694177439</v>
      </c>
      <c r="S4">
        <v>22.999977694177399</v>
      </c>
      <c r="U4" t="s">
        <v>25</v>
      </c>
      <c r="V4" t="s">
        <v>2</v>
      </c>
      <c r="W4">
        <v>0.21013974939472599</v>
      </c>
      <c r="X4">
        <v>6.1465464644993402</v>
      </c>
      <c r="Y4">
        <v>16.08307139862805</v>
      </c>
      <c r="Z4">
        <v>16.8830713986281</v>
      </c>
    </row>
    <row r="5" spans="1:39" x14ac:dyDescent="0.2">
      <c r="A5" t="s">
        <v>26</v>
      </c>
      <c r="B5">
        <v>2019.5399540000001</v>
      </c>
      <c r="D5">
        <v>841.56622300000004</v>
      </c>
      <c r="E5">
        <v>280.45617700000003</v>
      </c>
      <c r="G5" t="s">
        <v>26</v>
      </c>
      <c r="H5">
        <f t="shared" si="0"/>
        <v>1</v>
      </c>
      <c r="J5">
        <f t="shared" si="1"/>
        <v>2.3997397932640174</v>
      </c>
      <c r="K5">
        <f t="shared" si="2"/>
        <v>7.200910943031217</v>
      </c>
      <c r="M5" t="s">
        <v>35</v>
      </c>
      <c r="N5" t="s">
        <v>3</v>
      </c>
      <c r="O5">
        <v>1</v>
      </c>
      <c r="P5">
        <v>10.7371908607946</v>
      </c>
      <c r="Q5">
        <v>23.992039523292298</v>
      </c>
      <c r="R5">
        <v>50.898652021146098</v>
      </c>
      <c r="S5">
        <v>51.898652021146098</v>
      </c>
      <c r="U5" t="s">
        <v>32</v>
      </c>
      <c r="V5" t="s">
        <v>3</v>
      </c>
      <c r="W5">
        <v>3.2</v>
      </c>
      <c r="X5">
        <v>8.4233855283348493</v>
      </c>
      <c r="Y5">
        <v>10.288811032110386</v>
      </c>
      <c r="Z5">
        <v>1.23</v>
      </c>
    </row>
    <row r="6" spans="1:39" x14ac:dyDescent="0.2">
      <c r="A6" t="s">
        <v>27</v>
      </c>
      <c r="B6">
        <v>229.43337500000001</v>
      </c>
      <c r="D6">
        <v>503.28781099999998</v>
      </c>
      <c r="E6">
        <v>152.24421699999999</v>
      </c>
      <c r="G6" t="s">
        <v>27</v>
      </c>
      <c r="H6">
        <f t="shared" si="0"/>
        <v>1</v>
      </c>
      <c r="J6">
        <f t="shared" si="1"/>
        <v>0.45586912693977405</v>
      </c>
      <c r="K6">
        <f t="shared" si="2"/>
        <v>1.5070088015231478</v>
      </c>
      <c r="M6" t="s">
        <v>41</v>
      </c>
      <c r="N6" t="s">
        <v>4</v>
      </c>
      <c r="O6">
        <v>1</v>
      </c>
      <c r="P6">
        <v>1.3434341314870699</v>
      </c>
      <c r="Q6">
        <v>1.4909619426008727</v>
      </c>
      <c r="R6">
        <v>4.2540914026880099</v>
      </c>
      <c r="S6">
        <v>3.9540914026880101</v>
      </c>
      <c r="U6" t="s">
        <v>33</v>
      </c>
      <c r="V6" t="s">
        <v>4</v>
      </c>
      <c r="W6">
        <v>2.1131038917517899</v>
      </c>
      <c r="X6">
        <v>13.0015183696561</v>
      </c>
      <c r="Y6">
        <v>22.499977694177439</v>
      </c>
      <c r="Z6">
        <v>22.999977694177399</v>
      </c>
    </row>
    <row r="7" spans="1:39" x14ac:dyDescent="0.2">
      <c r="A7" t="s">
        <v>28</v>
      </c>
      <c r="B7">
        <v>396.55769700000002</v>
      </c>
      <c r="D7">
        <v>401.85037199999999</v>
      </c>
      <c r="E7">
        <v>185.69932600000001</v>
      </c>
      <c r="G7" t="s">
        <v>28</v>
      </c>
      <c r="H7">
        <f t="shared" si="0"/>
        <v>1</v>
      </c>
      <c r="J7">
        <f t="shared" si="1"/>
        <v>0.98682923951604562</v>
      </c>
      <c r="K7">
        <f t="shared" si="2"/>
        <v>2.1354826942129019</v>
      </c>
      <c r="M7" t="s">
        <v>45</v>
      </c>
      <c r="N7" t="s">
        <v>5</v>
      </c>
      <c r="O7">
        <v>1</v>
      </c>
      <c r="P7">
        <v>0.63831079396539003</v>
      </c>
      <c r="Q7">
        <v>1.3439260772666255</v>
      </c>
      <c r="R7">
        <v>3.3227406245998257</v>
      </c>
      <c r="S7">
        <v>3.8227406245998301</v>
      </c>
      <c r="U7" t="s">
        <v>35</v>
      </c>
      <c r="V7" t="s">
        <v>5</v>
      </c>
      <c r="W7">
        <v>10.7371908607946</v>
      </c>
      <c r="X7">
        <v>23.992039523292298</v>
      </c>
      <c r="Y7">
        <v>50.898652021146098</v>
      </c>
      <c r="Z7">
        <v>51.898652021146098</v>
      </c>
    </row>
    <row r="8" spans="1:39" x14ac:dyDescent="0.2">
      <c r="A8" t="s">
        <v>29</v>
      </c>
      <c r="B8">
        <v>71.710963000000007</v>
      </c>
      <c r="D8">
        <v>62.088191999999999</v>
      </c>
      <c r="E8">
        <v>30.094145000000001</v>
      </c>
      <c r="G8" t="s">
        <v>29</v>
      </c>
      <c r="H8">
        <f t="shared" si="0"/>
        <v>1</v>
      </c>
      <c r="J8">
        <f t="shared" si="1"/>
        <v>1.1549855244617206</v>
      </c>
      <c r="K8">
        <f t="shared" si="2"/>
        <v>2.3828875351002665</v>
      </c>
      <c r="P8" s="3">
        <f>AVERAGE(P2:P7)</f>
        <v>2.5320299045655958</v>
      </c>
      <c r="Q8" s="3">
        <f>AVERAGE(Q2:Q7)</f>
        <v>7.9025296727455805</v>
      </c>
      <c r="R8" s="3">
        <f>AVERAGE(R2:R7)</f>
        <v>16.475922733910892</v>
      </c>
      <c r="S8" s="3">
        <f>AVERAGE(S2:S7)</f>
        <v>16.859256067244228</v>
      </c>
      <c r="U8" t="s">
        <v>41</v>
      </c>
      <c r="V8" t="s">
        <v>74</v>
      </c>
      <c r="W8">
        <v>1.3434341314870699</v>
      </c>
      <c r="X8">
        <v>1.4909619426008727</v>
      </c>
      <c r="Y8">
        <v>4.2540914026880099</v>
      </c>
      <c r="Z8">
        <v>3.9540914026880101</v>
      </c>
    </row>
    <row r="9" spans="1:39" x14ac:dyDescent="0.2">
      <c r="A9" t="s">
        <v>30</v>
      </c>
      <c r="B9">
        <v>20.765753</v>
      </c>
      <c r="D9">
        <v>36.449280000000002</v>
      </c>
      <c r="E9">
        <v>28.254207999999998</v>
      </c>
      <c r="G9" t="s">
        <v>30</v>
      </c>
      <c r="H9">
        <f t="shared" si="0"/>
        <v>1</v>
      </c>
      <c r="J9">
        <f t="shared" si="1"/>
        <v>0.56971641140785223</v>
      </c>
      <c r="K9">
        <f t="shared" si="2"/>
        <v>0.73496142592282188</v>
      </c>
      <c r="U9" t="s">
        <v>45</v>
      </c>
      <c r="V9" t="s">
        <v>75</v>
      </c>
      <c r="W9">
        <v>0.63831079396539003</v>
      </c>
      <c r="X9">
        <v>1.3439260772666255</v>
      </c>
      <c r="Y9">
        <v>3.3227406245998257</v>
      </c>
      <c r="Z9">
        <v>3.8227406245998301</v>
      </c>
    </row>
    <row r="10" spans="1:39" x14ac:dyDescent="0.2">
      <c r="A10" t="s">
        <v>31</v>
      </c>
      <c r="B10">
        <v>126818.321635</v>
      </c>
      <c r="D10">
        <v>93074.046875</v>
      </c>
      <c r="E10">
        <v>93093.492188000004</v>
      </c>
      <c r="G10" t="s">
        <v>31</v>
      </c>
      <c r="H10">
        <f t="shared" si="0"/>
        <v>1</v>
      </c>
      <c r="J10">
        <f t="shared" si="1"/>
        <v>1.3625529983166964</v>
      </c>
      <c r="K10">
        <f t="shared" si="2"/>
        <v>1.3622683890608973</v>
      </c>
      <c r="U10" t="s">
        <v>46</v>
      </c>
      <c r="V10" t="s">
        <v>76</v>
      </c>
      <c r="W10">
        <v>1.2</v>
      </c>
      <c r="X10">
        <v>2.6172276515570894</v>
      </c>
      <c r="Y10">
        <v>4.8396989402001038</v>
      </c>
      <c r="Z10">
        <v>4.78</v>
      </c>
    </row>
    <row r="11" spans="1:39" x14ac:dyDescent="0.2">
      <c r="A11" t="s">
        <v>32</v>
      </c>
      <c r="B11">
        <v>384.449254</v>
      </c>
      <c r="D11">
        <v>45.640704999999997</v>
      </c>
      <c r="E11">
        <v>37.365760999999999</v>
      </c>
      <c r="G11" t="s">
        <v>32</v>
      </c>
      <c r="H11">
        <f t="shared" si="0"/>
        <v>1</v>
      </c>
      <c r="J11">
        <f t="shared" si="1"/>
        <v>8.4233855283348493</v>
      </c>
      <c r="K11">
        <f t="shared" si="2"/>
        <v>10.288811032110386</v>
      </c>
    </row>
    <row r="12" spans="1:39" x14ac:dyDescent="0.2">
      <c r="A12" t="s">
        <v>33</v>
      </c>
      <c r="B12">
        <v>14841.569769</v>
      </c>
      <c r="D12">
        <v>674.57025099999998</v>
      </c>
      <c r="E12">
        <v>659.62597700000003</v>
      </c>
      <c r="G12" t="s">
        <v>33</v>
      </c>
      <c r="H12">
        <f t="shared" si="0"/>
        <v>1</v>
      </c>
      <c r="J12">
        <f t="shared" si="1"/>
        <v>22.001518369656061</v>
      </c>
      <c r="K12">
        <f t="shared" si="2"/>
        <v>22.499977694177439</v>
      </c>
      <c r="P12">
        <f>R2/P2</f>
        <v>11.980021748172847</v>
      </c>
    </row>
    <row r="13" spans="1:39" x14ac:dyDescent="0.2">
      <c r="A13" t="s">
        <v>34</v>
      </c>
      <c r="B13">
        <v>8046.7807750000002</v>
      </c>
      <c r="D13">
        <v>8132.3212890000004</v>
      </c>
      <c r="E13">
        <v>3028.2075199999999</v>
      </c>
      <c r="G13" t="s">
        <v>34</v>
      </c>
      <c r="H13">
        <f t="shared" si="0"/>
        <v>1</v>
      </c>
      <c r="J13">
        <f t="shared" si="1"/>
        <v>0.98948141484329888</v>
      </c>
      <c r="K13">
        <f t="shared" si="2"/>
        <v>2.6572752104518913</v>
      </c>
      <c r="P13">
        <f t="shared" ref="P13:P20" si="3">R3/P3</f>
        <v>76.535122198216996</v>
      </c>
    </row>
    <row r="14" spans="1:39" ht="18" customHeight="1" x14ac:dyDescent="0.2">
      <c r="A14" t="s">
        <v>35</v>
      </c>
      <c r="B14">
        <v>23864.962543000001</v>
      </c>
      <c r="D14">
        <v>994.70336899999995</v>
      </c>
      <c r="E14">
        <v>468.87219199999998</v>
      </c>
      <c r="G14" t="s">
        <v>35</v>
      </c>
      <c r="H14">
        <f t="shared" si="0"/>
        <v>1</v>
      </c>
      <c r="J14">
        <f t="shared" si="1"/>
        <v>23.992039523292298</v>
      </c>
      <c r="K14">
        <f t="shared" si="2"/>
        <v>50.898652021146098</v>
      </c>
      <c r="P14">
        <f t="shared" si="3"/>
        <v>10.647833162393484</v>
      </c>
    </row>
    <row r="15" spans="1:39" x14ac:dyDescent="0.2">
      <c r="A15" t="s">
        <v>36</v>
      </c>
      <c r="B15">
        <v>194.721441</v>
      </c>
      <c r="D15">
        <v>383.41323899999998</v>
      </c>
      <c r="E15">
        <v>138.657791</v>
      </c>
      <c r="G15" t="s">
        <v>36</v>
      </c>
      <c r="H15">
        <f t="shared" si="0"/>
        <v>1</v>
      </c>
      <c r="J15">
        <f t="shared" si="1"/>
        <v>0.50786311267671169</v>
      </c>
      <c r="K15">
        <f t="shared" si="2"/>
        <v>1.4043310483721754</v>
      </c>
      <c r="P15">
        <f t="shared" si="3"/>
        <v>4.7404067489379962</v>
      </c>
      <c r="U15" t="s">
        <v>47</v>
      </c>
      <c r="V15" t="s">
        <v>48</v>
      </c>
      <c r="W15" s="2" t="s">
        <v>50</v>
      </c>
      <c r="X15" s="2" t="s">
        <v>49</v>
      </c>
      <c r="AB15" t="s">
        <v>47</v>
      </c>
      <c r="AC15" t="s">
        <v>48</v>
      </c>
      <c r="AD15" s="2" t="s">
        <v>50</v>
      </c>
      <c r="AE15" s="2" t="s">
        <v>49</v>
      </c>
      <c r="AI15" t="s">
        <v>47</v>
      </c>
      <c r="AJ15" t="s">
        <v>48</v>
      </c>
      <c r="AK15" s="2" t="s">
        <v>50</v>
      </c>
      <c r="AL15" s="2" t="s">
        <v>49</v>
      </c>
    </row>
    <row r="16" spans="1:39" x14ac:dyDescent="0.2">
      <c r="A16" t="s">
        <v>37</v>
      </c>
      <c r="B16">
        <v>103.53423100000001</v>
      </c>
      <c r="D16">
        <v>103.254013</v>
      </c>
      <c r="E16">
        <v>33.816544</v>
      </c>
      <c r="G16" t="s">
        <v>37</v>
      </c>
      <c r="H16">
        <f t="shared" si="0"/>
        <v>1</v>
      </c>
      <c r="J16">
        <f t="shared" si="1"/>
        <v>1.0027138703073943</v>
      </c>
      <c r="K16">
        <f t="shared" si="2"/>
        <v>3.0616443537222491</v>
      </c>
      <c r="P16">
        <f t="shared" si="3"/>
        <v>3.1665798143591037</v>
      </c>
      <c r="T16" t="s">
        <v>0</v>
      </c>
      <c r="U16">
        <v>0.15</v>
      </c>
      <c r="V16">
        <v>1.4401856591582431</v>
      </c>
      <c r="W16">
        <v>1.7970032622259269</v>
      </c>
      <c r="X16">
        <v>1.59700326222593</v>
      </c>
      <c r="Y16">
        <v>0.02</v>
      </c>
      <c r="AA16" t="s">
        <v>1</v>
      </c>
      <c r="AB16">
        <v>0.01</v>
      </c>
      <c r="AC16">
        <v>0.58172842150126958</v>
      </c>
      <c r="AD16">
        <v>1.8803320191467323</v>
      </c>
      <c r="AE16">
        <v>1.91</v>
      </c>
      <c r="AF16">
        <v>5.0000000000000001E-3</v>
      </c>
      <c r="AH16" t="s">
        <v>2</v>
      </c>
      <c r="AI16">
        <v>0.21013974939472599</v>
      </c>
      <c r="AJ16">
        <v>6.1465464644993402</v>
      </c>
      <c r="AK16">
        <v>16.08307139862805</v>
      </c>
      <c r="AL16">
        <v>16.8830713986281</v>
      </c>
      <c r="AM16">
        <v>0.1</v>
      </c>
    </row>
    <row r="17" spans="1:39" x14ac:dyDescent="0.2">
      <c r="A17" t="s">
        <v>38</v>
      </c>
      <c r="B17">
        <v>23.792214999999999</v>
      </c>
      <c r="D17">
        <v>58.556255</v>
      </c>
      <c r="E17">
        <v>31.948799000000001</v>
      </c>
      <c r="G17" t="s">
        <v>38</v>
      </c>
      <c r="H17">
        <f t="shared" si="0"/>
        <v>1</v>
      </c>
      <c r="J17">
        <f t="shared" si="1"/>
        <v>0.40631380883220758</v>
      </c>
      <c r="K17">
        <f t="shared" si="2"/>
        <v>0.74469825923659905</v>
      </c>
      <c r="P17">
        <f t="shared" si="3"/>
        <v>5.2055215985897751</v>
      </c>
      <c r="W17">
        <f>W16*Y16</f>
        <v>3.5940065244518538E-2</v>
      </c>
      <c r="Y17">
        <v>0.1</v>
      </c>
      <c r="AD17">
        <f>AD16*AF16</f>
        <v>9.4016600957336615E-3</v>
      </c>
      <c r="AF17">
        <v>5.0000000000000001E-3</v>
      </c>
      <c r="AK17">
        <f>AK16*AM16</f>
        <v>1.608307139862805</v>
      </c>
      <c r="AM17">
        <v>0.1</v>
      </c>
    </row>
    <row r="18" spans="1:39" x14ac:dyDescent="0.2">
      <c r="A18" t="s">
        <v>39</v>
      </c>
      <c r="B18">
        <v>309.00501700000001</v>
      </c>
      <c r="D18">
        <v>419.846924</v>
      </c>
      <c r="E18">
        <v>130.149384</v>
      </c>
      <c r="G18" t="s">
        <v>39</v>
      </c>
      <c r="H18">
        <f t="shared" si="0"/>
        <v>1</v>
      </c>
      <c r="J18">
        <f t="shared" si="1"/>
        <v>0.73599447640588167</v>
      </c>
      <c r="K18">
        <f t="shared" si="2"/>
        <v>2.3742334193452659</v>
      </c>
      <c r="P18">
        <f t="shared" si="3"/>
        <v>6.5070016369879964</v>
      </c>
      <c r="W18">
        <f>W16*Y17</f>
        <v>0.17970032622259269</v>
      </c>
      <c r="AD18">
        <f>AD16*AF17</f>
        <v>9.4016600957336615E-3</v>
      </c>
      <c r="AK18">
        <f>AK16*AM17</f>
        <v>1.608307139862805</v>
      </c>
    </row>
    <row r="19" spans="1:39" x14ac:dyDescent="0.2">
      <c r="A19" t="s">
        <v>40</v>
      </c>
      <c r="B19">
        <v>1153.8013000000001</v>
      </c>
      <c r="D19">
        <v>7440.1669920000004</v>
      </c>
      <c r="E19">
        <v>5674.986328</v>
      </c>
      <c r="G19" t="s">
        <v>40</v>
      </c>
      <c r="H19">
        <f t="shared" si="0"/>
        <v>1</v>
      </c>
      <c r="J19">
        <f t="shared" si="1"/>
        <v>0.15507733915658328</v>
      </c>
      <c r="K19">
        <f t="shared" si="2"/>
        <v>0.20331349422063313</v>
      </c>
      <c r="P19" t="e">
        <f t="shared" si="3"/>
        <v>#DIV/0!</v>
      </c>
    </row>
    <row r="20" spans="1:39" x14ac:dyDescent="0.2">
      <c r="A20" t="s">
        <v>41</v>
      </c>
      <c r="B20">
        <v>1491.075785</v>
      </c>
      <c r="D20">
        <v>1000.076355</v>
      </c>
      <c r="E20">
        <v>350.50393700000001</v>
      </c>
      <c r="G20" t="s">
        <v>41</v>
      </c>
      <c r="H20">
        <f t="shared" si="0"/>
        <v>1</v>
      </c>
      <c r="J20">
        <f t="shared" si="1"/>
        <v>1.4909619426008727</v>
      </c>
      <c r="K20">
        <f t="shared" si="2"/>
        <v>4.2540914026880099</v>
      </c>
      <c r="P20" t="e">
        <f t="shared" si="3"/>
        <v>#DIV/0!</v>
      </c>
    </row>
    <row r="21" spans="1:39" x14ac:dyDescent="0.2">
      <c r="A21" t="s">
        <v>42</v>
      </c>
      <c r="B21">
        <v>725.067454</v>
      </c>
      <c r="D21">
        <v>1750.597534</v>
      </c>
      <c r="E21">
        <v>441.05114700000001</v>
      </c>
      <c r="G21" t="s">
        <v>42</v>
      </c>
      <c r="H21">
        <f t="shared" si="0"/>
        <v>1</v>
      </c>
      <c r="J21">
        <f t="shared" si="1"/>
        <v>0.41418283752706347</v>
      </c>
      <c r="K21">
        <f t="shared" si="2"/>
        <v>1.6439532215976755</v>
      </c>
      <c r="U21" t="s">
        <v>47</v>
      </c>
      <c r="V21" t="s">
        <v>48</v>
      </c>
      <c r="W21" s="2" t="s">
        <v>50</v>
      </c>
      <c r="X21" s="2" t="s">
        <v>49</v>
      </c>
      <c r="AB21" t="s">
        <v>47</v>
      </c>
      <c r="AC21" t="s">
        <v>48</v>
      </c>
      <c r="AD21" s="2" t="s">
        <v>50</v>
      </c>
      <c r="AE21" s="2" t="s">
        <v>49</v>
      </c>
      <c r="AI21" t="s">
        <v>47</v>
      </c>
      <c r="AJ21" t="s">
        <v>48</v>
      </c>
      <c r="AK21" s="2" t="s">
        <v>50</v>
      </c>
      <c r="AL21" s="2" t="s">
        <v>49</v>
      </c>
    </row>
    <row r="22" spans="1:39" x14ac:dyDescent="0.2">
      <c r="A22" t="s">
        <v>43</v>
      </c>
      <c r="B22">
        <v>235.688863</v>
      </c>
      <c r="D22">
        <v>499.71740699999998</v>
      </c>
      <c r="E22">
        <v>170.07615699999999</v>
      </c>
      <c r="G22" t="s">
        <v>43</v>
      </c>
      <c r="H22">
        <f t="shared" si="0"/>
        <v>1</v>
      </c>
      <c r="J22">
        <f t="shared" si="1"/>
        <v>0.47164429275124292</v>
      </c>
      <c r="K22">
        <f t="shared" si="2"/>
        <v>1.3857842695728362</v>
      </c>
      <c r="T22" t="s">
        <v>3</v>
      </c>
      <c r="U22">
        <v>3.2</v>
      </c>
      <c r="V22">
        <v>8.4233855283348493</v>
      </c>
      <c r="W22">
        <v>10.288811032110386</v>
      </c>
      <c r="X22">
        <v>10.23</v>
      </c>
      <c r="Y22">
        <v>5.0000000000000001E-3</v>
      </c>
      <c r="AA22" t="s">
        <v>4</v>
      </c>
      <c r="AB22">
        <v>2.1131038917517899</v>
      </c>
      <c r="AC22">
        <v>13.0015183696561</v>
      </c>
      <c r="AD22">
        <v>22.499977694177439</v>
      </c>
      <c r="AE22">
        <v>22.999977694177399</v>
      </c>
      <c r="AF22">
        <v>5.0000000000000001E-3</v>
      </c>
      <c r="AH22" t="s">
        <v>5</v>
      </c>
      <c r="AI22">
        <v>10.7371908607946</v>
      </c>
      <c r="AJ22">
        <v>23.992039523292298</v>
      </c>
      <c r="AK22">
        <v>50.898652021146098</v>
      </c>
      <c r="AL22">
        <v>51.898652021146098</v>
      </c>
      <c r="AM22">
        <v>5.0000000000000001E-3</v>
      </c>
    </row>
    <row r="23" spans="1:39" x14ac:dyDescent="0.2">
      <c r="A23" t="s">
        <v>44</v>
      </c>
      <c r="B23">
        <v>260.676963</v>
      </c>
      <c r="D23">
        <v>480.16073599999999</v>
      </c>
      <c r="E23">
        <v>145.95263700000001</v>
      </c>
      <c r="G23" t="s">
        <v>44</v>
      </c>
      <c r="H23">
        <f t="shared" si="0"/>
        <v>1</v>
      </c>
      <c r="J23">
        <f t="shared" si="1"/>
        <v>0.54289520874109953</v>
      </c>
      <c r="K23">
        <f t="shared" si="2"/>
        <v>1.786038048767834</v>
      </c>
      <c r="W23">
        <f>W22*Y22</f>
        <v>5.1444055160551935E-2</v>
      </c>
      <c r="Y23">
        <v>5.0000000000000001E-3</v>
      </c>
      <c r="AD23">
        <f>AD22*AF22</f>
        <v>0.1124998884708872</v>
      </c>
      <c r="AF23">
        <v>5.0000000000000001E-3</v>
      </c>
      <c r="AK23">
        <f>AK22*AM22</f>
        <v>0.25449326010573048</v>
      </c>
      <c r="AM23">
        <v>5.0000000000000001E-3</v>
      </c>
    </row>
    <row r="24" spans="1:39" x14ac:dyDescent="0.2">
      <c r="A24" t="s">
        <v>45</v>
      </c>
      <c r="B24">
        <v>138.50842299999999</v>
      </c>
      <c r="D24">
        <v>103.06253100000001</v>
      </c>
      <c r="E24">
        <v>41.684994000000003</v>
      </c>
      <c r="G24" t="s">
        <v>45</v>
      </c>
      <c r="H24">
        <f t="shared" si="0"/>
        <v>1</v>
      </c>
      <c r="J24">
        <f t="shared" si="1"/>
        <v>1.3439260772666255</v>
      </c>
      <c r="K24">
        <f t="shared" si="2"/>
        <v>3.3227406245998257</v>
      </c>
      <c r="W24">
        <f>W22*Y23</f>
        <v>5.1444055160551935E-2</v>
      </c>
      <c r="AD24">
        <f>AD22*AF23</f>
        <v>0.1124998884708872</v>
      </c>
      <c r="AK24">
        <f>AK22*AM23</f>
        <v>0.25449326010573048</v>
      </c>
    </row>
    <row r="25" spans="1:39" x14ac:dyDescent="0.2">
      <c r="A25" t="s">
        <v>46</v>
      </c>
      <c r="B25">
        <v>171.383264</v>
      </c>
      <c r="D25">
        <v>65.482749999999996</v>
      </c>
      <c r="E25">
        <v>35.411968000000002</v>
      </c>
      <c r="G25" t="s">
        <v>46</v>
      </c>
      <c r="H25">
        <f t="shared" si="0"/>
        <v>1</v>
      </c>
      <c r="J25">
        <f t="shared" si="1"/>
        <v>2.6172276515570894</v>
      </c>
      <c r="K25">
        <f t="shared" si="2"/>
        <v>4.8396989402001038</v>
      </c>
    </row>
    <row r="27" spans="1:39" x14ac:dyDescent="0.2">
      <c r="U27" t="s">
        <v>47</v>
      </c>
      <c r="V27" t="s">
        <v>48</v>
      </c>
      <c r="W27" s="2" t="s">
        <v>50</v>
      </c>
      <c r="X27" s="2" t="s">
        <v>49</v>
      </c>
      <c r="AB27" t="s">
        <v>47</v>
      </c>
      <c r="AC27" t="s">
        <v>48</v>
      </c>
      <c r="AD27" s="2" t="s">
        <v>50</v>
      </c>
      <c r="AE27" s="2" t="s">
        <v>49</v>
      </c>
      <c r="AI27" t="s">
        <v>47</v>
      </c>
      <c r="AJ27" t="s">
        <v>48</v>
      </c>
      <c r="AK27" s="2" t="s">
        <v>50</v>
      </c>
      <c r="AL27" s="2" t="s">
        <v>49</v>
      </c>
    </row>
    <row r="28" spans="1:39" x14ac:dyDescent="0.2">
      <c r="T28" t="s">
        <v>74</v>
      </c>
      <c r="U28">
        <v>1.3434341314870699</v>
      </c>
      <c r="V28">
        <v>1.4909619426008727</v>
      </c>
      <c r="W28">
        <v>4.2540914026880099</v>
      </c>
      <c r="X28">
        <v>3.9540914026880101</v>
      </c>
      <c r="Y28">
        <v>5.0000000000000001E-3</v>
      </c>
      <c r="AA28" t="s">
        <v>75</v>
      </c>
      <c r="AB28">
        <v>0.63831079396539003</v>
      </c>
      <c r="AC28">
        <v>1.3439260772666255</v>
      </c>
      <c r="AD28">
        <v>3.3227406245998257</v>
      </c>
      <c r="AE28">
        <v>3.8227406245998301</v>
      </c>
      <c r="AF28">
        <v>5.0000000000000001E-3</v>
      </c>
      <c r="AH28" t="s">
        <v>76</v>
      </c>
      <c r="AI28">
        <v>1.2</v>
      </c>
      <c r="AJ28">
        <v>2.6172276515570894</v>
      </c>
      <c r="AK28">
        <v>4.8396989402001038</v>
      </c>
      <c r="AL28">
        <v>4.78</v>
      </c>
      <c r="AM28">
        <v>0.06</v>
      </c>
    </row>
    <row r="29" spans="1:39" x14ac:dyDescent="0.2">
      <c r="W29">
        <f>W28*Y28</f>
        <v>2.1270457013440051E-2</v>
      </c>
      <c r="Y29">
        <v>5.0000000000000001E-3</v>
      </c>
      <c r="AD29">
        <f>AD28*AF28</f>
        <v>1.6613703122999129E-2</v>
      </c>
      <c r="AF29">
        <v>5.0000000000000001E-3</v>
      </c>
      <c r="AK29">
        <f>AK28*AM28</f>
        <v>0.29038193641200621</v>
      </c>
      <c r="AM29">
        <v>0.01</v>
      </c>
    </row>
    <row r="30" spans="1:39" x14ac:dyDescent="0.2">
      <c r="W30">
        <f>W28*Y29</f>
        <v>2.1270457013440051E-2</v>
      </c>
      <c r="AD30">
        <f>AD28*AF29</f>
        <v>1.6613703122999129E-2</v>
      </c>
      <c r="AK30">
        <f>AK28*AM29</f>
        <v>4.8396989402001038E-2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B69F-4FBF-2347-BCC3-39A481FAD791}">
  <dimension ref="A1:AI26"/>
  <sheetViews>
    <sheetView topLeftCell="K8" zoomScale="88" workbookViewId="0">
      <selection activeCell="O2" sqref="O2:O8"/>
    </sheetView>
  </sheetViews>
  <sheetFormatPr baseColWidth="10" defaultRowHeight="16" x14ac:dyDescent="0.2"/>
  <cols>
    <col min="3" max="3" width="15.5" customWidth="1"/>
    <col min="11" max="11" width="16.6640625" customWidth="1"/>
  </cols>
  <sheetData>
    <row r="1" spans="1:35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Q1" t="s">
        <v>6</v>
      </c>
      <c r="R1" t="s">
        <v>47</v>
      </c>
      <c r="S1" t="s">
        <v>48</v>
      </c>
      <c r="T1" s="2" t="s">
        <v>50</v>
      </c>
      <c r="U1" s="2" t="s">
        <v>49</v>
      </c>
      <c r="Z1" t="s">
        <v>47</v>
      </c>
      <c r="AA1" t="s">
        <v>48</v>
      </c>
      <c r="AB1" s="2" t="s">
        <v>50</v>
      </c>
      <c r="AC1" s="2" t="s">
        <v>49</v>
      </c>
    </row>
    <row r="2" spans="1:35" x14ac:dyDescent="0.2">
      <c r="A2" t="s">
        <v>23</v>
      </c>
      <c r="B2">
        <v>595209.34010100004</v>
      </c>
      <c r="D2">
        <v>92203.25</v>
      </c>
      <c r="E2" s="1">
        <v>25553.558593999998</v>
      </c>
      <c r="I2" t="s">
        <v>23</v>
      </c>
      <c r="J2">
        <f>B2/B2</f>
        <v>1</v>
      </c>
      <c r="L2">
        <f>B2/D2</f>
        <v>6.4554052064433742</v>
      </c>
      <c r="M2">
        <f>B2/E2</f>
        <v>23.292620396157105</v>
      </c>
      <c r="P2" t="s">
        <v>0</v>
      </c>
      <c r="Q2">
        <v>1</v>
      </c>
      <c r="R2">
        <v>0.12</v>
      </c>
      <c r="S2">
        <v>6.4554052064433742</v>
      </c>
      <c r="T2">
        <v>23.292620396157105</v>
      </c>
      <c r="U2">
        <v>21.292620396157101</v>
      </c>
      <c r="X2" t="s">
        <v>65</v>
      </c>
      <c r="Y2" t="s">
        <v>0</v>
      </c>
      <c r="Z2">
        <v>0.12</v>
      </c>
      <c r="AA2">
        <v>6.4554052064433742</v>
      </c>
      <c r="AB2">
        <v>23.292620396157105</v>
      </c>
      <c r="AC2">
        <v>21.292620396157101</v>
      </c>
    </row>
    <row r="3" spans="1:35" x14ac:dyDescent="0.2">
      <c r="A3" t="s">
        <v>24</v>
      </c>
      <c r="B3">
        <v>736874.56901700003</v>
      </c>
      <c r="D3">
        <v>433568.28125</v>
      </c>
      <c r="E3" s="1">
        <v>150593.359375</v>
      </c>
      <c r="I3" t="s">
        <v>24</v>
      </c>
      <c r="J3">
        <f t="shared" ref="J3:J25" si="0">B3/B3</f>
        <v>1</v>
      </c>
      <c r="L3">
        <f t="shared" ref="L3:L25" si="1">B3/D3</f>
        <v>1.6995582953913331</v>
      </c>
      <c r="M3">
        <f>B3/E3</f>
        <v>4.8931411854759945</v>
      </c>
      <c r="O3" t="s">
        <v>71</v>
      </c>
      <c r="P3" t="s">
        <v>51</v>
      </c>
      <c r="Q3">
        <v>1</v>
      </c>
      <c r="R3">
        <v>0.51013974900000003</v>
      </c>
      <c r="S3">
        <v>1.6995582953913331</v>
      </c>
      <c r="T3">
        <v>4.8931411854759945</v>
      </c>
      <c r="U3">
        <v>5.0931411854759903</v>
      </c>
      <c r="X3" t="s">
        <v>71</v>
      </c>
      <c r="Y3" t="s">
        <v>57</v>
      </c>
      <c r="Z3">
        <v>0.51013974900000003</v>
      </c>
      <c r="AA3">
        <v>1.6995582953913331</v>
      </c>
      <c r="AB3">
        <v>4.8931411854759945</v>
      </c>
      <c r="AC3">
        <v>5.0931411854759903</v>
      </c>
    </row>
    <row r="4" spans="1:35" x14ac:dyDescent="0.2">
      <c r="A4" t="s">
        <v>25</v>
      </c>
      <c r="B4">
        <v>40644.647422000002</v>
      </c>
      <c r="D4">
        <v>597.72619599999996</v>
      </c>
      <c r="I4" t="s">
        <v>25</v>
      </c>
      <c r="J4">
        <f t="shared" si="0"/>
        <v>1</v>
      </c>
      <c r="L4">
        <f t="shared" si="1"/>
        <v>67.998772170259713</v>
      </c>
      <c r="M4" t="e">
        <f t="shared" ref="M4:M26" si="2">B4/E4</f>
        <v>#DIV/0!</v>
      </c>
      <c r="O4" t="s">
        <v>72</v>
      </c>
      <c r="P4" t="s">
        <v>54</v>
      </c>
      <c r="Q4">
        <v>1</v>
      </c>
      <c r="R4">
        <v>2.1131038919999998</v>
      </c>
      <c r="S4">
        <v>9.3243236338791</v>
      </c>
      <c r="T4">
        <v>11.484573919738402</v>
      </c>
      <c r="U4">
        <v>10.4845739197384</v>
      </c>
      <c r="Y4" t="s">
        <v>2</v>
      </c>
    </row>
    <row r="5" spans="1:35" x14ac:dyDescent="0.2">
      <c r="A5" t="s">
        <v>26</v>
      </c>
      <c r="B5">
        <v>198563.570022</v>
      </c>
      <c r="D5">
        <v>9892.6201170000004</v>
      </c>
      <c r="I5" t="s">
        <v>26</v>
      </c>
      <c r="J5">
        <f t="shared" si="0"/>
        <v>1</v>
      </c>
      <c r="L5">
        <f t="shared" si="1"/>
        <v>20.07188870830872</v>
      </c>
      <c r="M5" t="e">
        <f t="shared" si="2"/>
        <v>#DIV/0!</v>
      </c>
      <c r="P5" t="s">
        <v>52</v>
      </c>
      <c r="Q5">
        <v>1</v>
      </c>
      <c r="R5">
        <v>3.7371908610000002</v>
      </c>
      <c r="S5">
        <v>16.107339584900885</v>
      </c>
      <c r="T5">
        <v>27.260043828104369</v>
      </c>
      <c r="U5">
        <v>25.260043828104401</v>
      </c>
      <c r="X5" t="s">
        <v>72</v>
      </c>
      <c r="Y5" t="s">
        <v>3</v>
      </c>
      <c r="Z5">
        <v>2.1131038919999998</v>
      </c>
      <c r="AA5">
        <v>9.3243236338791</v>
      </c>
      <c r="AB5">
        <v>11.484573919738402</v>
      </c>
      <c r="AC5">
        <v>10.4845739197384</v>
      </c>
    </row>
    <row r="6" spans="1:35" x14ac:dyDescent="0.2">
      <c r="A6" t="s">
        <v>27</v>
      </c>
      <c r="B6">
        <v>6353.7533649999996</v>
      </c>
      <c r="D6">
        <v>10659.708984000001</v>
      </c>
      <c r="I6" t="s">
        <v>27</v>
      </c>
      <c r="J6">
        <f t="shared" si="0"/>
        <v>1</v>
      </c>
      <c r="L6">
        <f t="shared" si="1"/>
        <v>0.5960531731716926</v>
      </c>
      <c r="M6" t="e">
        <f t="shared" si="2"/>
        <v>#DIV/0!</v>
      </c>
      <c r="P6" t="s">
        <v>53</v>
      </c>
      <c r="Q6">
        <v>1</v>
      </c>
      <c r="R6">
        <v>2.1434341309999998</v>
      </c>
      <c r="S6">
        <v>17.218232991672469</v>
      </c>
      <c r="T6">
        <v>53.484903287123281</v>
      </c>
      <c r="U6">
        <v>54.484903287123302</v>
      </c>
      <c r="Y6" t="s">
        <v>4</v>
      </c>
    </row>
    <row r="7" spans="1:35" x14ac:dyDescent="0.2">
      <c r="A7" t="s">
        <v>28</v>
      </c>
      <c r="B7">
        <v>17276.418596</v>
      </c>
      <c r="D7">
        <v>14970.310546999999</v>
      </c>
      <c r="I7" t="s">
        <v>28</v>
      </c>
      <c r="J7">
        <f t="shared" si="0"/>
        <v>1</v>
      </c>
      <c r="L7">
        <f t="shared" si="1"/>
        <v>1.154045438253259</v>
      </c>
      <c r="M7" t="e">
        <f t="shared" si="2"/>
        <v>#DIV/0!</v>
      </c>
      <c r="O7" t="s">
        <v>73</v>
      </c>
      <c r="P7" t="s">
        <v>55</v>
      </c>
      <c r="Q7">
        <v>1</v>
      </c>
      <c r="R7">
        <v>0.93831079399999995</v>
      </c>
      <c r="S7">
        <v>5.3295928769801888</v>
      </c>
      <c r="T7">
        <v>10.32026005745896</v>
      </c>
      <c r="U7">
        <v>9.3202600574590004</v>
      </c>
      <c r="X7" t="s">
        <v>68</v>
      </c>
      <c r="Y7" t="s">
        <v>5</v>
      </c>
      <c r="Z7">
        <v>3.7371908610000002</v>
      </c>
      <c r="AA7">
        <v>16.107339584900885</v>
      </c>
      <c r="AB7">
        <v>27.260043828104369</v>
      </c>
      <c r="AC7">
        <v>25.260043828104401</v>
      </c>
    </row>
    <row r="8" spans="1:35" x14ac:dyDescent="0.2">
      <c r="A8" t="s">
        <v>29</v>
      </c>
      <c r="B8">
        <v>3354.3732770000001</v>
      </c>
      <c r="D8">
        <v>372.30081200000001</v>
      </c>
      <c r="I8" t="s">
        <v>29</v>
      </c>
      <c r="J8">
        <f t="shared" si="0"/>
        <v>1</v>
      </c>
      <c r="L8">
        <f t="shared" si="1"/>
        <v>9.009846792920774</v>
      </c>
      <c r="M8" t="e">
        <f t="shared" si="2"/>
        <v>#DIV/0!</v>
      </c>
      <c r="Y8" t="s">
        <v>74</v>
      </c>
    </row>
    <row r="9" spans="1:35" x14ac:dyDescent="0.2">
      <c r="A9" t="s">
        <v>30</v>
      </c>
      <c r="B9">
        <v>1225.168711</v>
      </c>
      <c r="D9">
        <v>1027.5419919999999</v>
      </c>
      <c r="I9" t="s">
        <v>30</v>
      </c>
      <c r="J9">
        <f t="shared" si="0"/>
        <v>1</v>
      </c>
      <c r="L9">
        <f t="shared" si="1"/>
        <v>1.1923295792664794</v>
      </c>
      <c r="M9" t="e">
        <f t="shared" si="2"/>
        <v>#DIV/0!</v>
      </c>
      <c r="X9" t="s">
        <v>70</v>
      </c>
      <c r="Y9" t="s">
        <v>75</v>
      </c>
      <c r="Z9">
        <v>2.1434341309999998</v>
      </c>
      <c r="AA9">
        <v>17.218232991672469</v>
      </c>
      <c r="AB9">
        <v>53.484903287123281</v>
      </c>
      <c r="AC9">
        <v>54.484903287123302</v>
      </c>
    </row>
    <row r="10" spans="1:35" x14ac:dyDescent="0.2">
      <c r="A10" t="s">
        <v>31</v>
      </c>
      <c r="I10" t="s">
        <v>31</v>
      </c>
      <c r="J10" t="e">
        <f t="shared" si="0"/>
        <v>#DIV/0!</v>
      </c>
      <c r="L10" t="e">
        <f t="shared" si="1"/>
        <v>#DIV/0!</v>
      </c>
      <c r="M10" t="e">
        <f t="shared" si="2"/>
        <v>#DIV/0!</v>
      </c>
      <c r="R10">
        <f>T2/R2</f>
        <v>194.10516996797588</v>
      </c>
      <c r="X10" t="s">
        <v>73</v>
      </c>
      <c r="Y10" t="s">
        <v>76</v>
      </c>
      <c r="Z10">
        <v>0.93831079399999995</v>
      </c>
      <c r="AA10">
        <v>5.3295928769801888</v>
      </c>
      <c r="AB10">
        <v>10.32026005745896</v>
      </c>
      <c r="AC10">
        <v>9.3202600574590004</v>
      </c>
    </row>
    <row r="11" spans="1:35" x14ac:dyDescent="0.2">
      <c r="A11" t="s">
        <v>32</v>
      </c>
      <c r="B11">
        <v>54175.847453000002</v>
      </c>
      <c r="D11">
        <v>3782.0876459999999</v>
      </c>
      <c r="E11" s="1">
        <v>4717.2709960000002</v>
      </c>
      <c r="I11" t="s">
        <v>32</v>
      </c>
      <c r="J11">
        <f t="shared" si="0"/>
        <v>1</v>
      </c>
      <c r="L11">
        <f t="shared" si="1"/>
        <v>14.324323633879109</v>
      </c>
      <c r="M11">
        <f t="shared" si="2"/>
        <v>11.484573919738402</v>
      </c>
      <c r="R11">
        <f t="shared" ref="R11:R20" si="3">T3/R3</f>
        <v>9.5917661681289506</v>
      </c>
    </row>
    <row r="12" spans="1:35" x14ac:dyDescent="0.2">
      <c r="A12" t="s">
        <v>33</v>
      </c>
      <c r="B12">
        <v>3130613.7130200001</v>
      </c>
      <c r="D12">
        <v>194359.453125</v>
      </c>
      <c r="E12" s="1">
        <v>114842.578125</v>
      </c>
      <c r="I12" t="s">
        <v>33</v>
      </c>
      <c r="J12">
        <f t="shared" si="0"/>
        <v>1</v>
      </c>
      <c r="L12">
        <f t="shared" si="1"/>
        <v>16.107339584900885</v>
      </c>
      <c r="M12">
        <f t="shared" si="2"/>
        <v>27.260043828104369</v>
      </c>
      <c r="R12">
        <f t="shared" si="3"/>
        <v>5.4349310335463636</v>
      </c>
    </row>
    <row r="13" spans="1:35" x14ac:dyDescent="0.2">
      <c r="A13" t="s">
        <v>34</v>
      </c>
      <c r="B13">
        <v>1335102.0925070001</v>
      </c>
      <c r="D13">
        <v>876679.875</v>
      </c>
      <c r="I13" t="s">
        <v>34</v>
      </c>
      <c r="J13">
        <f t="shared" si="0"/>
        <v>1</v>
      </c>
      <c r="L13">
        <f t="shared" si="1"/>
        <v>1.5229071986019984</v>
      </c>
      <c r="M13" t="e">
        <f t="shared" si="2"/>
        <v>#DIV/0!</v>
      </c>
      <c r="R13">
        <f t="shared" si="3"/>
        <v>7.2942605400704918</v>
      </c>
      <c r="X13" t="s">
        <v>47</v>
      </c>
      <c r="Y13" t="s">
        <v>48</v>
      </c>
      <c r="Z13" s="2" t="s">
        <v>50</v>
      </c>
      <c r="AA13" s="2" t="s">
        <v>49</v>
      </c>
      <c r="AE13" t="s">
        <v>47</v>
      </c>
      <c r="AF13" t="s">
        <v>48</v>
      </c>
      <c r="AG13" s="2" t="s">
        <v>50</v>
      </c>
      <c r="AH13" s="2" t="s">
        <v>49</v>
      </c>
    </row>
    <row r="14" spans="1:35" x14ac:dyDescent="0.2">
      <c r="A14" t="s">
        <v>35</v>
      </c>
      <c r="I14" t="s">
        <v>35</v>
      </c>
      <c r="J14" t="e">
        <f t="shared" si="0"/>
        <v>#DIV/0!</v>
      </c>
      <c r="L14" t="e">
        <f t="shared" si="1"/>
        <v>#DIV/0!</v>
      </c>
      <c r="M14" t="e">
        <f t="shared" si="2"/>
        <v>#DIV/0!</v>
      </c>
      <c r="R14">
        <f t="shared" si="3"/>
        <v>24.952902687133374</v>
      </c>
      <c r="W14" t="s">
        <v>0</v>
      </c>
      <c r="X14">
        <v>0.12</v>
      </c>
      <c r="Y14">
        <v>6.4554052064433742</v>
      </c>
      <c r="Z14">
        <v>23.292620396157105</v>
      </c>
      <c r="AA14">
        <v>21.292620396157101</v>
      </c>
      <c r="AB14">
        <v>1.2999999999999999E-2</v>
      </c>
      <c r="AD14" t="s">
        <v>57</v>
      </c>
      <c r="AE14">
        <v>0.51013974900000003</v>
      </c>
      <c r="AF14">
        <v>1.6995582953913331</v>
      </c>
      <c r="AG14">
        <v>4.8931411854759945</v>
      </c>
      <c r="AH14">
        <v>5.0931411854759903</v>
      </c>
      <c r="AI14">
        <v>1.2999999999999999E-2</v>
      </c>
    </row>
    <row r="15" spans="1:35" x14ac:dyDescent="0.2">
      <c r="A15" t="s">
        <v>36</v>
      </c>
      <c r="B15">
        <v>51492.909820000001</v>
      </c>
      <c r="D15">
        <v>24413.244140999999</v>
      </c>
      <c r="I15" t="s">
        <v>36</v>
      </c>
      <c r="J15">
        <f t="shared" si="0"/>
        <v>1</v>
      </c>
      <c r="L15">
        <f t="shared" si="1"/>
        <v>2.1092202872588315</v>
      </c>
      <c r="M15" t="e">
        <f t="shared" si="2"/>
        <v>#DIV/0!</v>
      </c>
      <c r="R15">
        <f t="shared" si="3"/>
        <v>10.998765146315646</v>
      </c>
      <c r="Z15">
        <f>Z14*AB14</f>
        <v>0.30280406515004232</v>
      </c>
      <c r="AB15">
        <v>1.2999999999999999E-2</v>
      </c>
      <c r="AG15">
        <f>AG14*AI14</f>
        <v>6.3610835411187922E-2</v>
      </c>
      <c r="AI15">
        <v>1.2999999999999999E-2</v>
      </c>
    </row>
    <row r="16" spans="1:35" x14ac:dyDescent="0.2">
      <c r="A16" t="s">
        <v>37</v>
      </c>
      <c r="B16">
        <v>53778.327777999999</v>
      </c>
      <c r="D16">
        <v>3919.2658689999998</v>
      </c>
      <c r="I16" t="s">
        <v>37</v>
      </c>
      <c r="J16">
        <f t="shared" si="0"/>
        <v>1</v>
      </c>
      <c r="L16">
        <f t="shared" si="1"/>
        <v>13.721530913063964</v>
      </c>
      <c r="M16" t="e">
        <f t="shared" si="2"/>
        <v>#DIV/0!</v>
      </c>
      <c r="R16" t="e">
        <f t="shared" si="3"/>
        <v>#DIV/0!</v>
      </c>
      <c r="Z16">
        <f>Z14*AB15</f>
        <v>0.30280406515004232</v>
      </c>
      <c r="AG16">
        <f>AG14*AI15</f>
        <v>6.3610835411187922E-2</v>
      </c>
    </row>
    <row r="17" spans="1:35" x14ac:dyDescent="0.2">
      <c r="A17" t="s">
        <v>38</v>
      </c>
      <c r="B17">
        <v>19761.007944000001</v>
      </c>
      <c r="D17">
        <v>8019.4028319999998</v>
      </c>
      <c r="I17" t="s">
        <v>38</v>
      </c>
      <c r="J17">
        <f t="shared" si="0"/>
        <v>1</v>
      </c>
      <c r="L17">
        <f t="shared" si="1"/>
        <v>2.4641495580128754</v>
      </c>
      <c r="M17" t="e">
        <f t="shared" si="2"/>
        <v>#DIV/0!</v>
      </c>
      <c r="R17" t="e">
        <f t="shared" si="3"/>
        <v>#DIV/0!</v>
      </c>
    </row>
    <row r="18" spans="1:35" x14ac:dyDescent="0.2">
      <c r="A18" t="s">
        <v>39</v>
      </c>
      <c r="B18">
        <v>972201.79304799996</v>
      </c>
      <c r="D18">
        <v>1515222.5</v>
      </c>
      <c r="I18" t="s">
        <v>39</v>
      </c>
      <c r="J18">
        <f t="shared" si="0"/>
        <v>1</v>
      </c>
      <c r="L18">
        <f t="shared" si="1"/>
        <v>0.64162312336835015</v>
      </c>
      <c r="M18" t="e">
        <f t="shared" si="2"/>
        <v>#DIV/0!</v>
      </c>
      <c r="R18">
        <f t="shared" si="3"/>
        <v>0</v>
      </c>
      <c r="X18" t="s">
        <v>47</v>
      </c>
      <c r="Y18" t="s">
        <v>48</v>
      </c>
      <c r="Z18" s="2" t="s">
        <v>50</v>
      </c>
      <c r="AA18" s="2" t="s">
        <v>49</v>
      </c>
      <c r="AE18" t="s">
        <v>47</v>
      </c>
      <c r="AF18" t="s">
        <v>48</v>
      </c>
      <c r="AG18" s="2" t="s">
        <v>50</v>
      </c>
      <c r="AH18" s="2" t="s">
        <v>49</v>
      </c>
    </row>
    <row r="19" spans="1:35" x14ac:dyDescent="0.2">
      <c r="A19" t="s">
        <v>40</v>
      </c>
      <c r="I19" t="s">
        <v>40</v>
      </c>
      <c r="J19" t="e">
        <f t="shared" si="0"/>
        <v>#DIV/0!</v>
      </c>
      <c r="L19" t="e">
        <f t="shared" si="1"/>
        <v>#DIV/0!</v>
      </c>
      <c r="M19" t="e">
        <f t="shared" si="2"/>
        <v>#DIV/0!</v>
      </c>
      <c r="R19">
        <f t="shared" si="3"/>
        <v>0</v>
      </c>
      <c r="W19" t="s">
        <v>3</v>
      </c>
      <c r="X19">
        <v>2.1131038919999998</v>
      </c>
      <c r="Y19">
        <v>9.3243236338791</v>
      </c>
      <c r="Z19">
        <v>11.484573919738402</v>
      </c>
      <c r="AA19">
        <v>10.4845739197384</v>
      </c>
      <c r="AB19">
        <v>1.2999999999999999E-2</v>
      </c>
      <c r="AD19" t="s">
        <v>5</v>
      </c>
      <c r="AE19">
        <v>3.7371908610000002</v>
      </c>
      <c r="AF19">
        <v>16.107339584900885</v>
      </c>
      <c r="AG19">
        <v>27.260043828104369</v>
      </c>
      <c r="AH19">
        <v>25.260043828104401</v>
      </c>
      <c r="AI19">
        <v>1.2999999999999999E-2</v>
      </c>
    </row>
    <row r="20" spans="1:35" x14ac:dyDescent="0.2">
      <c r="A20" t="s">
        <v>41</v>
      </c>
      <c r="I20" t="s">
        <v>41</v>
      </c>
      <c r="J20" t="e">
        <f t="shared" si="0"/>
        <v>#DIV/0!</v>
      </c>
      <c r="L20" t="e">
        <f t="shared" si="1"/>
        <v>#DIV/0!</v>
      </c>
      <c r="M20" t="e">
        <f t="shared" si="2"/>
        <v>#DIV/0!</v>
      </c>
      <c r="R20">
        <f t="shared" si="3"/>
        <v>0</v>
      </c>
      <c r="Z20">
        <f>Z19*AB19</f>
        <v>0.14929946095659921</v>
      </c>
      <c r="AB20">
        <v>1.2999999999999999E-2</v>
      </c>
      <c r="AG20">
        <f>AG19*AI19</f>
        <v>0.35438056976535676</v>
      </c>
      <c r="AI20">
        <v>1.2999999999999999E-2</v>
      </c>
    </row>
    <row r="21" spans="1:35" x14ac:dyDescent="0.2">
      <c r="A21" t="s">
        <v>42</v>
      </c>
      <c r="I21" t="s">
        <v>42</v>
      </c>
      <c r="J21" t="e">
        <f t="shared" si="0"/>
        <v>#DIV/0!</v>
      </c>
      <c r="L21" t="e">
        <f t="shared" si="1"/>
        <v>#DIV/0!</v>
      </c>
      <c r="M21" t="e">
        <f t="shared" si="2"/>
        <v>#DIV/0!</v>
      </c>
      <c r="Z21">
        <f>Z19*AB20</f>
        <v>0.14929946095659921</v>
      </c>
      <c r="AG21">
        <f>AG19*AI20</f>
        <v>0.35438056976535676</v>
      </c>
    </row>
    <row r="22" spans="1:35" x14ac:dyDescent="0.2">
      <c r="A22" t="s">
        <v>43</v>
      </c>
      <c r="B22">
        <v>865671.30827699997</v>
      </c>
      <c r="I22" t="s">
        <v>43</v>
      </c>
      <c r="J22">
        <f t="shared" si="0"/>
        <v>1</v>
      </c>
      <c r="L22" t="e">
        <f t="shared" si="1"/>
        <v>#DIV/0!</v>
      </c>
      <c r="M22" t="e">
        <f t="shared" si="2"/>
        <v>#DIV/0!</v>
      </c>
    </row>
    <row r="23" spans="1:35" x14ac:dyDescent="0.2">
      <c r="A23" t="s">
        <v>44</v>
      </c>
      <c r="I23" t="s">
        <v>44</v>
      </c>
      <c r="J23" t="e">
        <f t="shared" si="0"/>
        <v>#DIV/0!</v>
      </c>
      <c r="L23" t="e">
        <f t="shared" si="1"/>
        <v>#DIV/0!</v>
      </c>
      <c r="M23" t="e">
        <f t="shared" si="2"/>
        <v>#DIV/0!</v>
      </c>
      <c r="X23" t="s">
        <v>47</v>
      </c>
      <c r="Y23" t="s">
        <v>48</v>
      </c>
      <c r="Z23" s="2" t="s">
        <v>50</v>
      </c>
      <c r="AA23" s="2" t="s">
        <v>49</v>
      </c>
      <c r="AE23" t="s">
        <v>47</v>
      </c>
      <c r="AF23" t="s">
        <v>48</v>
      </c>
      <c r="AG23" s="2" t="s">
        <v>50</v>
      </c>
      <c r="AH23" s="2" t="s">
        <v>49</v>
      </c>
    </row>
    <row r="24" spans="1:35" x14ac:dyDescent="0.2">
      <c r="A24" t="s">
        <v>45</v>
      </c>
      <c r="B24">
        <v>902519.50960800005</v>
      </c>
      <c r="D24">
        <v>52416.5</v>
      </c>
      <c r="E24" s="1">
        <v>16874.285156000002</v>
      </c>
      <c r="I24" t="s">
        <v>45</v>
      </c>
      <c r="J24">
        <f t="shared" si="0"/>
        <v>1</v>
      </c>
      <c r="L24">
        <f t="shared" si="1"/>
        <v>17.218232991672469</v>
      </c>
      <c r="M24">
        <f t="shared" si="2"/>
        <v>53.484903287123281</v>
      </c>
      <c r="W24" t="s">
        <v>75</v>
      </c>
      <c r="X24">
        <v>2.1434341309999998</v>
      </c>
      <c r="Y24">
        <v>17.218232991672469</v>
      </c>
      <c r="Z24">
        <v>53.484903287123281</v>
      </c>
      <c r="AA24">
        <v>54.484903287123302</v>
      </c>
      <c r="AB24">
        <v>1.2999999999999999E-2</v>
      </c>
      <c r="AD24" t="s">
        <v>76</v>
      </c>
      <c r="AE24">
        <v>0.93831079399999995</v>
      </c>
      <c r="AF24">
        <v>5.3295928769801888</v>
      </c>
      <c r="AG24">
        <v>10.32026005745896</v>
      </c>
      <c r="AH24">
        <v>9.3202600574590004</v>
      </c>
      <c r="AI24">
        <v>1.2999999999999999E-2</v>
      </c>
    </row>
    <row r="25" spans="1:35" x14ac:dyDescent="0.2">
      <c r="A25" t="s">
        <v>46</v>
      </c>
      <c r="B25">
        <v>341496.59903099999</v>
      </c>
      <c r="D25">
        <v>64075.550780999998</v>
      </c>
      <c r="E25" s="1">
        <v>33089.921875</v>
      </c>
      <c r="I25" t="s">
        <v>46</v>
      </c>
      <c r="J25">
        <f t="shared" si="0"/>
        <v>1</v>
      </c>
      <c r="L25">
        <f t="shared" si="1"/>
        <v>5.3295928769801888</v>
      </c>
      <c r="M25">
        <f t="shared" si="2"/>
        <v>10.32026005745896</v>
      </c>
      <c r="Z25">
        <f>Z24*AB24</f>
        <v>0.69530374273260265</v>
      </c>
      <c r="AB25">
        <v>1.2999999999999999E-2</v>
      </c>
      <c r="AG25">
        <f>AG24*AI24</f>
        <v>0.13416338074696646</v>
      </c>
      <c r="AI25">
        <v>1.2999999999999999E-2</v>
      </c>
    </row>
    <row r="26" spans="1:35" x14ac:dyDescent="0.2">
      <c r="M26" t="e">
        <f t="shared" si="2"/>
        <v>#DIV/0!</v>
      </c>
      <c r="Z26">
        <f>Z24*AB25</f>
        <v>0.69530374273260265</v>
      </c>
      <c r="AG26">
        <f>AG24*AI25</f>
        <v>0.13416338074696646</v>
      </c>
    </row>
  </sheetData>
  <sortState xmlns:xlrd2="http://schemas.microsoft.com/office/spreadsheetml/2017/richdata2" ref="I3:AP66">
    <sortCondition ref="I3:I66"/>
  </sortState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ED31-F327-3740-8403-185F4F8145E4}">
  <dimension ref="A1:AF27"/>
  <sheetViews>
    <sheetView tabSelected="1" topLeftCell="N1" workbookViewId="0">
      <selection activeCell="AA24" sqref="AA24:AE27"/>
    </sheetView>
  </sheetViews>
  <sheetFormatPr baseColWidth="10" defaultRowHeight="16" x14ac:dyDescent="0.2"/>
  <sheetData>
    <row r="1" spans="1:32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N1" t="s">
        <v>6</v>
      </c>
      <c r="O1" t="s">
        <v>47</v>
      </c>
      <c r="P1" t="s">
        <v>48</v>
      </c>
      <c r="Q1" s="2" t="s">
        <v>50</v>
      </c>
      <c r="R1" s="2" t="s">
        <v>49</v>
      </c>
      <c r="W1" t="s">
        <v>47</v>
      </c>
      <c r="X1" t="s">
        <v>48</v>
      </c>
      <c r="Y1" s="2" t="s">
        <v>50</v>
      </c>
      <c r="Z1" s="2" t="s">
        <v>49</v>
      </c>
    </row>
    <row r="2" spans="1:32" x14ac:dyDescent="0.2">
      <c r="A2" t="s">
        <v>0</v>
      </c>
      <c r="L2" t="s">
        <v>65</v>
      </c>
      <c r="M2" t="s">
        <v>0</v>
      </c>
      <c r="N2">
        <v>1</v>
      </c>
      <c r="O2">
        <v>0.12</v>
      </c>
      <c r="P2">
        <v>8.4554052064433698</v>
      </c>
      <c r="Q2">
        <v>18.292620396157101</v>
      </c>
      <c r="R2">
        <v>20.292620396157101</v>
      </c>
      <c r="U2" t="s">
        <v>65</v>
      </c>
      <c r="V2" t="s">
        <v>0</v>
      </c>
      <c r="W2">
        <v>0.12</v>
      </c>
      <c r="X2">
        <v>8.4554052064433698</v>
      </c>
      <c r="Y2">
        <v>18.292620396157101</v>
      </c>
      <c r="Z2">
        <v>20.292620396157101</v>
      </c>
    </row>
    <row r="3" spans="1:32" x14ac:dyDescent="0.2">
      <c r="A3" t="s">
        <v>1</v>
      </c>
      <c r="L3" t="s">
        <v>71</v>
      </c>
      <c r="M3" t="s">
        <v>51</v>
      </c>
      <c r="N3">
        <v>1</v>
      </c>
      <c r="O3">
        <v>0.91013974900000005</v>
      </c>
      <c r="P3">
        <v>4.6995582953913297</v>
      </c>
      <c r="Q3">
        <v>8.8931411854759901</v>
      </c>
      <c r="R3">
        <v>6.0931411854759903</v>
      </c>
      <c r="U3" t="s">
        <v>71</v>
      </c>
      <c r="V3" t="s">
        <v>57</v>
      </c>
      <c r="W3">
        <v>0.91013974900000005</v>
      </c>
      <c r="X3">
        <v>4.6995582953913297</v>
      </c>
      <c r="Y3">
        <v>8.8931411854759901</v>
      </c>
      <c r="Z3">
        <v>6.0931411854759903</v>
      </c>
    </row>
    <row r="4" spans="1:32" x14ac:dyDescent="0.2">
      <c r="A4" t="s">
        <v>2</v>
      </c>
      <c r="L4" t="s">
        <v>72</v>
      </c>
      <c r="M4" t="s">
        <v>54</v>
      </c>
      <c r="N4">
        <v>1</v>
      </c>
      <c r="O4">
        <v>1.113103892</v>
      </c>
      <c r="P4">
        <v>7.3243236338791</v>
      </c>
      <c r="Q4">
        <v>14.4845739197384</v>
      </c>
      <c r="R4">
        <v>13.4845739197384</v>
      </c>
      <c r="U4" t="s">
        <v>66</v>
      </c>
      <c r="V4" t="s">
        <v>2</v>
      </c>
    </row>
    <row r="5" spans="1:32" x14ac:dyDescent="0.2">
      <c r="A5" t="s">
        <v>3</v>
      </c>
      <c r="L5" t="s">
        <v>68</v>
      </c>
      <c r="M5" t="s">
        <v>52</v>
      </c>
      <c r="N5">
        <v>1</v>
      </c>
      <c r="O5">
        <v>2.7371908610000002</v>
      </c>
      <c r="P5">
        <v>15.107339584900901</v>
      </c>
      <c r="Q5">
        <v>32.260043828104401</v>
      </c>
      <c r="R5">
        <v>31.260043828104401</v>
      </c>
      <c r="U5" t="s">
        <v>72</v>
      </c>
      <c r="V5" t="s">
        <v>3</v>
      </c>
      <c r="W5">
        <v>1.113103892</v>
      </c>
      <c r="X5">
        <v>7.3243236338791</v>
      </c>
      <c r="Y5">
        <v>14.4845739197384</v>
      </c>
      <c r="Z5">
        <v>13.4845739197384</v>
      </c>
    </row>
    <row r="6" spans="1:32" x14ac:dyDescent="0.2">
      <c r="A6" t="s">
        <v>4</v>
      </c>
      <c r="L6" t="s">
        <v>70</v>
      </c>
      <c r="M6" t="s">
        <v>53</v>
      </c>
      <c r="N6">
        <v>1</v>
      </c>
      <c r="O6">
        <v>1.143434131</v>
      </c>
      <c r="P6">
        <v>17.218232991672469</v>
      </c>
      <c r="Q6">
        <v>27.484903287123299</v>
      </c>
      <c r="R6">
        <v>28.484903287123299</v>
      </c>
      <c r="U6" t="s">
        <v>67</v>
      </c>
      <c r="V6" t="s">
        <v>4</v>
      </c>
    </row>
    <row r="7" spans="1:32" x14ac:dyDescent="0.2">
      <c r="A7" t="s">
        <v>5</v>
      </c>
      <c r="L7" t="s">
        <v>73</v>
      </c>
      <c r="M7" t="s">
        <v>55</v>
      </c>
      <c r="N7">
        <v>1</v>
      </c>
      <c r="O7">
        <v>0.73831079399999999</v>
      </c>
      <c r="P7">
        <v>5.3295928769801888</v>
      </c>
      <c r="Q7">
        <v>14.320260057459</v>
      </c>
      <c r="R7">
        <v>12.320260057459</v>
      </c>
      <c r="U7" t="s">
        <v>68</v>
      </c>
      <c r="V7" t="s">
        <v>5</v>
      </c>
      <c r="W7">
        <v>2.7371908610000002</v>
      </c>
      <c r="X7">
        <v>15.107339584900901</v>
      </c>
      <c r="Y7">
        <v>32.260043828104401</v>
      </c>
      <c r="Z7">
        <v>31.260043828104401</v>
      </c>
    </row>
    <row r="8" spans="1:32" x14ac:dyDescent="0.2">
      <c r="U8" t="s">
        <v>69</v>
      </c>
      <c r="V8" t="s">
        <v>74</v>
      </c>
    </row>
    <row r="9" spans="1:32" x14ac:dyDescent="0.2">
      <c r="U9" t="s">
        <v>70</v>
      </c>
      <c r="V9" t="s">
        <v>75</v>
      </c>
      <c r="W9">
        <v>1.143434131</v>
      </c>
      <c r="X9">
        <v>17.218232991672469</v>
      </c>
      <c r="Y9">
        <v>27.484903287123299</v>
      </c>
      <c r="Z9">
        <v>28.484903287123299</v>
      </c>
    </row>
    <row r="10" spans="1:32" x14ac:dyDescent="0.2">
      <c r="O10">
        <f>Q2/O2</f>
        <v>152.43850330130917</v>
      </c>
      <c r="P10">
        <f>R2/P2</f>
        <v>2.3999583580800223</v>
      </c>
      <c r="U10" t="s">
        <v>73</v>
      </c>
      <c r="V10" t="s">
        <v>76</v>
      </c>
      <c r="W10">
        <v>0.73831079399999999</v>
      </c>
      <c r="X10">
        <v>5.3295928769801888</v>
      </c>
      <c r="Y10">
        <v>14.320260057459</v>
      </c>
      <c r="Z10">
        <v>12.320260057459</v>
      </c>
    </row>
    <row r="11" spans="1:32" x14ac:dyDescent="0.2">
      <c r="O11">
        <f t="shared" ref="O11:O19" si="0">Q3/O3</f>
        <v>9.7711820577523092</v>
      </c>
      <c r="P11">
        <f t="shared" ref="P11:P17" si="1">R3/P3</f>
        <v>1.2965348661492915</v>
      </c>
    </row>
    <row r="12" spans="1:32" x14ac:dyDescent="0.2">
      <c r="O12">
        <f t="shared" si="0"/>
        <v>13.012778073853326</v>
      </c>
      <c r="P12">
        <f t="shared" si="1"/>
        <v>1.8410674614874596</v>
      </c>
    </row>
    <row r="13" spans="1:32" x14ac:dyDescent="0.2">
      <c r="O13">
        <f t="shared" si="0"/>
        <v>11.785821839372421</v>
      </c>
      <c r="P13">
        <f t="shared" si="1"/>
        <v>2.0691958138908451</v>
      </c>
    </row>
    <row r="14" spans="1:32" x14ac:dyDescent="0.2">
      <c r="O14">
        <f t="shared" si="0"/>
        <v>24.037154867054863</v>
      </c>
      <c r="P14">
        <f t="shared" si="1"/>
        <v>1.6543453268927137</v>
      </c>
      <c r="U14" t="s">
        <v>47</v>
      </c>
      <c r="V14" t="s">
        <v>48</v>
      </c>
      <c r="W14" s="2" t="s">
        <v>50</v>
      </c>
      <c r="X14" s="2" t="s">
        <v>49</v>
      </c>
      <c r="AB14" t="s">
        <v>47</v>
      </c>
      <c r="AC14" t="s">
        <v>48</v>
      </c>
      <c r="AD14" s="2" t="s">
        <v>50</v>
      </c>
      <c r="AE14" s="2" t="s">
        <v>49</v>
      </c>
    </row>
    <row r="15" spans="1:32" x14ac:dyDescent="0.2">
      <c r="O15">
        <f t="shared" si="0"/>
        <v>19.395978189449309</v>
      </c>
      <c r="P15">
        <f t="shared" si="1"/>
        <v>2.3116700171739586</v>
      </c>
      <c r="T15" t="s">
        <v>0</v>
      </c>
      <c r="U15">
        <v>0.12</v>
      </c>
      <c r="V15">
        <v>8.4554052064433698</v>
      </c>
      <c r="W15">
        <v>18.292620396157101</v>
      </c>
      <c r="X15">
        <v>20.292620396157101</v>
      </c>
      <c r="Y15">
        <v>1.2E-2</v>
      </c>
      <c r="AA15" t="s">
        <v>57</v>
      </c>
      <c r="AB15">
        <v>0.91013974900000005</v>
      </c>
      <c r="AC15">
        <v>4.6995582953913297</v>
      </c>
      <c r="AD15">
        <v>8.8931411854759901</v>
      </c>
      <c r="AE15">
        <v>8.0931411854759894</v>
      </c>
      <c r="AF15">
        <v>1.2E-2</v>
      </c>
    </row>
    <row r="16" spans="1:32" x14ac:dyDescent="0.2">
      <c r="O16" t="e">
        <f t="shared" si="0"/>
        <v>#DIV/0!</v>
      </c>
      <c r="P16" t="e">
        <f t="shared" si="1"/>
        <v>#DIV/0!</v>
      </c>
      <c r="W16">
        <f>W15*Y15</f>
        <v>0.21951144475388523</v>
      </c>
      <c r="Y16">
        <v>0</v>
      </c>
      <c r="AD16">
        <f>AD15*AF15</f>
        <v>0.10671769422571188</v>
      </c>
      <c r="AF16">
        <v>0</v>
      </c>
    </row>
    <row r="17" spans="15:32" x14ac:dyDescent="0.2">
      <c r="O17" t="e">
        <f t="shared" si="0"/>
        <v>#DIV/0!</v>
      </c>
      <c r="P17" t="e">
        <f t="shared" si="1"/>
        <v>#DIV/0!</v>
      </c>
      <c r="W17">
        <v>0</v>
      </c>
      <c r="AD17">
        <v>0</v>
      </c>
    </row>
    <row r="18" spans="15:32" x14ac:dyDescent="0.2">
      <c r="O18">
        <f t="shared" si="0"/>
        <v>0</v>
      </c>
    </row>
    <row r="19" spans="15:32" x14ac:dyDescent="0.2">
      <c r="O19">
        <f t="shared" si="0"/>
        <v>0</v>
      </c>
      <c r="U19" t="s">
        <v>47</v>
      </c>
      <c r="V19" t="s">
        <v>48</v>
      </c>
      <c r="W19" s="2" t="s">
        <v>50</v>
      </c>
      <c r="X19" s="2" t="s">
        <v>49</v>
      </c>
      <c r="AB19" t="s">
        <v>47</v>
      </c>
      <c r="AC19" t="s">
        <v>48</v>
      </c>
      <c r="AD19" s="2" t="s">
        <v>50</v>
      </c>
      <c r="AE19" s="2" t="s">
        <v>49</v>
      </c>
    </row>
    <row r="20" spans="15:32" x14ac:dyDescent="0.2">
      <c r="T20" t="s">
        <v>3</v>
      </c>
      <c r="U20">
        <v>1.113103892</v>
      </c>
      <c r="V20">
        <v>7.3243236338791</v>
      </c>
      <c r="W20">
        <v>14.4845739197384</v>
      </c>
      <c r="X20">
        <v>13.4845739197384</v>
      </c>
      <c r="Y20">
        <v>1.2E-2</v>
      </c>
      <c r="AA20" t="s">
        <v>5</v>
      </c>
      <c r="AB20">
        <v>2.7371908610000002</v>
      </c>
      <c r="AC20">
        <v>15.107339584900901</v>
      </c>
      <c r="AD20">
        <v>32.260043828104401</v>
      </c>
      <c r="AE20">
        <v>31.260043828104401</v>
      </c>
      <c r="AF20">
        <v>1.2E-2</v>
      </c>
    </row>
    <row r="21" spans="15:32" x14ac:dyDescent="0.2">
      <c r="W21">
        <f>W20*Y20</f>
        <v>0.17381488703686079</v>
      </c>
      <c r="Y21">
        <v>0</v>
      </c>
      <c r="AD21">
        <f>AE20*AG20</f>
        <v>0</v>
      </c>
      <c r="AF21">
        <v>0</v>
      </c>
    </row>
    <row r="22" spans="15:32" x14ac:dyDescent="0.2">
      <c r="W22">
        <v>0</v>
      </c>
      <c r="AD22">
        <v>0</v>
      </c>
    </row>
    <row r="24" spans="15:32" x14ac:dyDescent="0.2">
      <c r="U24" t="s">
        <v>47</v>
      </c>
      <c r="V24" t="s">
        <v>48</v>
      </c>
      <c r="W24" s="2" t="s">
        <v>50</v>
      </c>
      <c r="X24" s="2" t="s">
        <v>49</v>
      </c>
      <c r="AB24" t="s">
        <v>47</v>
      </c>
      <c r="AC24" t="s">
        <v>48</v>
      </c>
      <c r="AD24" s="2" t="s">
        <v>50</v>
      </c>
      <c r="AE24" s="2" t="s">
        <v>49</v>
      </c>
    </row>
    <row r="25" spans="15:32" x14ac:dyDescent="0.2">
      <c r="T25" t="s">
        <v>75</v>
      </c>
      <c r="U25">
        <v>1.143434131</v>
      </c>
      <c r="V25">
        <v>17.218232991672469</v>
      </c>
      <c r="W25">
        <v>27.484903287123299</v>
      </c>
      <c r="X25">
        <v>28.484903287123299</v>
      </c>
      <c r="Y25">
        <v>1.2E-2</v>
      </c>
      <c r="AA25" t="s">
        <v>76</v>
      </c>
      <c r="AB25">
        <v>0.73831079399999999</v>
      </c>
      <c r="AC25">
        <v>5.3295928769801888</v>
      </c>
      <c r="AD25">
        <v>14.320260057459</v>
      </c>
      <c r="AE25">
        <v>12.320260057459</v>
      </c>
      <c r="AF25">
        <v>1.2E-2</v>
      </c>
    </row>
    <row r="26" spans="15:32" x14ac:dyDescent="0.2">
      <c r="W26">
        <f>W25*Y25</f>
        <v>0.32981883944547957</v>
      </c>
      <c r="Y26">
        <v>0</v>
      </c>
      <c r="AD26">
        <f>AD25*AF25</f>
        <v>0.17184312068950802</v>
      </c>
      <c r="AF26">
        <v>0</v>
      </c>
    </row>
    <row r="27" spans="15:32" x14ac:dyDescent="0.2">
      <c r="W27">
        <v>0</v>
      </c>
      <c r="AD27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SampligRatio</vt:lpstr>
      <vt:lpstr>KHopsNeighbor</vt:lpstr>
      <vt:lpstr>多GPU</vt:lpstr>
      <vt:lpstr>Orkut</vt:lpstr>
      <vt:lpstr>Friendster</vt:lpstr>
      <vt:lpstr>SF3K</vt:lpstr>
      <vt:lpstr>SF10k</vt:lpstr>
      <vt:lpstr>Graph500-28</vt:lpstr>
      <vt:lpstr>Twitter-mpi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2023-04-03T05:45:48Z</dcterms:created>
  <dcterms:modified xsi:type="dcterms:W3CDTF">2023-07-24T21:57:07Z</dcterms:modified>
</cp:coreProperties>
</file>