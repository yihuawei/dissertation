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ICDE2024/"/>
    </mc:Choice>
  </mc:AlternateContent>
  <xr:revisionPtr revIDLastSave="0" documentId="13_ncr:1_{22A60B30-DEBA-B74D-A0FA-9D04A9FE1935}" xr6:coauthVersionLast="47" xr6:coauthVersionMax="47" xr10:uidLastSave="{00000000-0000-0000-0000-000000000000}"/>
  <bookViews>
    <workbookView xWindow="380" yWindow="460" windowWidth="28040" windowHeight="15960" activeTab="3" xr2:uid="{2415DEEE-6998-D649-ADBD-B4AE0793F0A1}"/>
  </bookViews>
  <sheets>
    <sheet name="FR" sheetId="1" r:id="rId1"/>
    <sheet name="3K" sheetId="3" r:id="rId2"/>
    <sheet name="SF10K" sheetId="4" r:id="rId3"/>
    <sheet name="汇总" sheetId="2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5" l="1"/>
  <c r="D74" i="5"/>
  <c r="E62" i="5"/>
  <c r="D61" i="5"/>
  <c r="E49" i="5"/>
  <c r="D48" i="5"/>
  <c r="E37" i="5"/>
  <c r="D36" i="5"/>
  <c r="E25" i="5"/>
  <c r="D24" i="5"/>
  <c r="E11" i="5"/>
  <c r="D10" i="5"/>
  <c r="I35" i="5"/>
  <c r="I34" i="5"/>
  <c r="I33" i="5"/>
  <c r="I32" i="5"/>
  <c r="I31" i="5"/>
  <c r="I30" i="5"/>
  <c r="I29" i="5"/>
  <c r="I28" i="5"/>
  <c r="I36" i="5" s="1"/>
  <c r="K36" i="5" s="1"/>
  <c r="K24" i="5"/>
  <c r="I23" i="5"/>
  <c r="I22" i="5"/>
  <c r="I21" i="5"/>
  <c r="I20" i="5"/>
  <c r="I19" i="5"/>
  <c r="I18" i="5"/>
  <c r="I17" i="5"/>
  <c r="I16" i="5"/>
  <c r="I24" i="5" s="1"/>
  <c r="K10" i="5"/>
  <c r="I10" i="5"/>
  <c r="I3" i="5"/>
  <c r="I4" i="5"/>
  <c r="I5" i="5"/>
  <c r="I6" i="5"/>
  <c r="I7" i="5"/>
  <c r="I8" i="5"/>
  <c r="I9" i="5"/>
  <c r="I2" i="5"/>
  <c r="N49" i="4" l="1"/>
  <c r="P49" i="4" s="1"/>
  <c r="N40" i="4"/>
  <c r="P40" i="4" s="1"/>
  <c r="N31" i="4"/>
  <c r="P31" i="4" s="1"/>
  <c r="N22" i="4"/>
  <c r="P22" i="4" s="1"/>
  <c r="N13" i="4"/>
  <c r="P13" i="4" s="1"/>
  <c r="N4" i="4"/>
  <c r="P4" i="4" s="1"/>
  <c r="N49" i="3"/>
  <c r="P49" i="3" s="1"/>
  <c r="N40" i="3"/>
  <c r="P40" i="3" s="1"/>
  <c r="N31" i="3"/>
  <c r="P31" i="3" s="1"/>
  <c r="N22" i="3"/>
  <c r="P22" i="3" s="1"/>
  <c r="N13" i="3"/>
  <c r="P13" i="3" s="1"/>
  <c r="N4" i="3"/>
  <c r="P4" i="3"/>
  <c r="M49" i="1"/>
  <c r="M40" i="1"/>
  <c r="M31" i="1"/>
  <c r="M22" i="1"/>
  <c r="M13" i="1"/>
  <c r="M4" i="1"/>
  <c r="K49" i="1"/>
  <c r="K40" i="1"/>
  <c r="K31" i="1"/>
  <c r="K22" i="1"/>
  <c r="K13" i="1"/>
  <c r="K4" i="1"/>
  <c r="L49" i="4"/>
  <c r="L40" i="4"/>
  <c r="L31" i="4"/>
  <c r="L22" i="4"/>
  <c r="L13" i="4"/>
  <c r="L4" i="4"/>
  <c r="J49" i="4"/>
  <c r="J40" i="4"/>
  <c r="J31" i="4"/>
  <c r="J22" i="4"/>
  <c r="J13" i="4"/>
  <c r="J4" i="4"/>
  <c r="I56" i="4"/>
  <c r="I55" i="4"/>
  <c r="I54" i="4"/>
  <c r="I53" i="4"/>
  <c r="I52" i="4"/>
  <c r="I51" i="4"/>
  <c r="I50" i="4"/>
  <c r="I49" i="4"/>
  <c r="I47" i="4"/>
  <c r="I46" i="4"/>
  <c r="I45" i="4"/>
  <c r="I44" i="4"/>
  <c r="I43" i="4"/>
  <c r="I42" i="4"/>
  <c r="I41" i="4"/>
  <c r="I40" i="4"/>
  <c r="I38" i="4"/>
  <c r="I37" i="4"/>
  <c r="I36" i="4"/>
  <c r="I35" i="4"/>
  <c r="I34" i="4"/>
  <c r="I33" i="4"/>
  <c r="I32" i="4"/>
  <c r="I31" i="4"/>
  <c r="I29" i="4"/>
  <c r="I28" i="4"/>
  <c r="I27" i="4"/>
  <c r="I26" i="4"/>
  <c r="I25" i="4"/>
  <c r="I24" i="4"/>
  <c r="I23" i="4"/>
  <c r="I22" i="4"/>
  <c r="I20" i="4"/>
  <c r="I19" i="4"/>
  <c r="I18" i="4"/>
  <c r="I17" i="4"/>
  <c r="I16" i="4"/>
  <c r="I15" i="4"/>
  <c r="I14" i="4"/>
  <c r="I13" i="4"/>
  <c r="I5" i="4"/>
  <c r="I6" i="4"/>
  <c r="I7" i="4"/>
  <c r="I8" i="4"/>
  <c r="I9" i="4"/>
  <c r="I10" i="4"/>
  <c r="I11" i="4"/>
  <c r="I4" i="4"/>
  <c r="L49" i="3"/>
  <c r="L40" i="3"/>
  <c r="L31" i="3"/>
  <c r="L22" i="3"/>
  <c r="L13" i="3"/>
  <c r="L4" i="3"/>
  <c r="J49" i="3"/>
  <c r="J40" i="3"/>
  <c r="J31" i="3"/>
  <c r="J22" i="3"/>
  <c r="J13" i="3"/>
  <c r="I56" i="3"/>
  <c r="I55" i="3"/>
  <c r="I54" i="3"/>
  <c r="I53" i="3"/>
  <c r="I52" i="3"/>
  <c r="I51" i="3"/>
  <c r="I50" i="3"/>
  <c r="I49" i="3"/>
  <c r="I47" i="3"/>
  <c r="I46" i="3"/>
  <c r="I45" i="3"/>
  <c r="I44" i="3"/>
  <c r="I43" i="3"/>
  <c r="I42" i="3"/>
  <c r="I41" i="3"/>
  <c r="I40" i="3"/>
  <c r="I38" i="3"/>
  <c r="I37" i="3"/>
  <c r="I36" i="3"/>
  <c r="I35" i="3"/>
  <c r="I34" i="3"/>
  <c r="I33" i="3"/>
  <c r="I32" i="3"/>
  <c r="I31" i="3"/>
  <c r="I29" i="3"/>
  <c r="I28" i="3"/>
  <c r="I27" i="3"/>
  <c r="I26" i="3"/>
  <c r="I25" i="3"/>
  <c r="I24" i="3"/>
  <c r="I23" i="3"/>
  <c r="I22" i="3"/>
  <c r="I20" i="3"/>
  <c r="I19" i="3"/>
  <c r="I18" i="3"/>
  <c r="I17" i="3"/>
  <c r="I16" i="3"/>
  <c r="I15" i="3"/>
  <c r="I14" i="3"/>
  <c r="I13" i="3"/>
  <c r="J4" i="3"/>
  <c r="I5" i="3"/>
  <c r="I6" i="3"/>
  <c r="I7" i="3"/>
  <c r="I8" i="3"/>
  <c r="I9" i="3"/>
  <c r="I10" i="3"/>
  <c r="I11" i="3"/>
  <c r="I4" i="3"/>
  <c r="I49" i="1"/>
  <c r="I40" i="1"/>
  <c r="I31" i="1"/>
  <c r="I22" i="1"/>
  <c r="I13" i="1"/>
  <c r="I4" i="1"/>
  <c r="G49" i="1"/>
  <c r="G40" i="1"/>
  <c r="G31" i="1"/>
  <c r="G22" i="1"/>
  <c r="F56" i="1"/>
  <c r="F55" i="1"/>
  <c r="F54" i="1"/>
  <c r="F53" i="1"/>
  <c r="F52" i="1"/>
  <c r="F51" i="1"/>
  <c r="F50" i="1"/>
  <c r="F49" i="1"/>
  <c r="F47" i="1"/>
  <c r="F46" i="1"/>
  <c r="F45" i="1"/>
  <c r="F44" i="1"/>
  <c r="F43" i="1"/>
  <c r="F42" i="1"/>
  <c r="F41" i="1"/>
  <c r="F40" i="1"/>
  <c r="F38" i="1"/>
  <c r="F37" i="1"/>
  <c r="F36" i="1"/>
  <c r="F35" i="1"/>
  <c r="F34" i="1"/>
  <c r="F33" i="1"/>
  <c r="F32" i="1"/>
  <c r="F31" i="1"/>
  <c r="F29" i="1"/>
  <c r="F28" i="1"/>
  <c r="F27" i="1"/>
  <c r="F26" i="1"/>
  <c r="F25" i="1"/>
  <c r="F24" i="1"/>
  <c r="F23" i="1"/>
  <c r="F22" i="1"/>
  <c r="F20" i="1"/>
  <c r="F19" i="1"/>
  <c r="F18" i="1"/>
  <c r="F17" i="1"/>
  <c r="F16" i="1"/>
  <c r="F15" i="1"/>
  <c r="F14" i="1"/>
  <c r="G13" i="1" s="1"/>
  <c r="F13" i="1"/>
  <c r="G4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<sst xmlns="http://schemas.openxmlformats.org/spreadsheetml/2006/main" count="652" uniqueCount="37">
  <si>
    <t>com-friendster</t>
  </si>
  <si>
    <t>Update Time:</t>
  </si>
  <si>
    <t>../data/icde2023//5_12.txt</t>
  </si>
  <si>
    <t>Data Size:</t>
  </si>
  <si>
    <t>real Data Size:</t>
  </si>
  <si>
    <t>Copy Data Time:</t>
  </si>
  <si>
    <t>GPU Time:</t>
  </si>
  <si>
    <t>../data/icde2023//5_15.txt</t>
  </si>
  <si>
    <t>../data/icde2023//6_50.txt</t>
  </si>
  <si>
    <t>../data/icde2023//6_62.txt</t>
  </si>
  <si>
    <t>../data/icde2023//7_846.txt</t>
  </si>
  <si>
    <t>../data/icde2023//7_851.txt</t>
  </si>
  <si>
    <t>VSGM Total Time</t>
  </si>
  <si>
    <t>GCSM Time</t>
  </si>
  <si>
    <t>P3</t>
  </si>
  <si>
    <t>P6</t>
  </si>
  <si>
    <t>P9</t>
  </si>
  <si>
    <t>FR</t>
  </si>
  <si>
    <t>SF10K</t>
  </si>
  <si>
    <t>SF3K</t>
  </si>
  <si>
    <t>P1</t>
  </si>
  <si>
    <t>P2</t>
  </si>
  <si>
    <t>P4</t>
  </si>
  <si>
    <t>P5</t>
  </si>
  <si>
    <t>P7</t>
  </si>
  <si>
    <t>P8</t>
  </si>
  <si>
    <t>datagen-sf3k-fb</t>
  </si>
  <si>
    <t>datagen-sf10k-fb</t>
  </si>
  <si>
    <t>VSGM Data</t>
  </si>
  <si>
    <t>GCSM Data</t>
  </si>
  <si>
    <t>FR 54_14</t>
  </si>
  <si>
    <t>../data/icde2023-2//6_47.txt</t>
  </si>
  <si>
    <t>FR 6_47</t>
  </si>
  <si>
    <t>../data/icde2023-2//7_852.txt</t>
  </si>
  <si>
    <t>FR 7_852</t>
  </si>
  <si>
    <t>../data/icde2023-2//5_14.txt</t>
  </si>
  <si>
    <t>SF3K 5_14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</si>
</sst>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汇总!$I$1</c:f>
              <c:strCache>
                <c:ptCount val="1"/>
                <c:pt idx="0">
                  <c:v>FR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汇总!$H$2:$H$10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汇总!$I$2:$I$10</c:f>
              <c:numCache>
                <c:formatCode>General</c:formatCode>
                <c:ptCount val="9"/>
                <c:pt idx="0">
                  <c:v>2.5351855574884858</c:v>
                </c:pt>
                <c:pt idx="1">
                  <c:v>2.95</c:v>
                </c:pt>
                <c:pt idx="2">
                  <c:v>16.259852443233456</c:v>
                </c:pt>
                <c:pt idx="3">
                  <c:v>1.92</c:v>
                </c:pt>
                <c:pt idx="4">
                  <c:v>2.6274612036316944</c:v>
                </c:pt>
                <c:pt idx="5">
                  <c:v>3.2740807839923041</c:v>
                </c:pt>
                <c:pt idx="6">
                  <c:v>2.5182516087876534</c:v>
                </c:pt>
                <c:pt idx="7">
                  <c:v>1.9758543381005587</c:v>
                </c:pt>
                <c:pt idx="8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6-5749-B793-377C46F85BA5}"/>
            </c:ext>
          </c:extLst>
        </c:ser>
        <c:ser>
          <c:idx val="1"/>
          <c:order val="1"/>
          <c:tx>
            <c:strRef>
              <c:f>汇总!$J$1</c:f>
              <c:strCache>
                <c:ptCount val="1"/>
                <c:pt idx="0">
                  <c:v>SF3K</c:v>
                </c:pt>
              </c:strCache>
            </c:strRef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汇总!$H$2:$H$10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汇总!$J$2:$J$10</c:f>
              <c:numCache>
                <c:formatCode>General</c:formatCode>
                <c:ptCount val="9"/>
                <c:pt idx="0">
                  <c:v>1.7407925485689659</c:v>
                </c:pt>
                <c:pt idx="1">
                  <c:v>2.0699999999999998</c:v>
                </c:pt>
                <c:pt idx="2">
                  <c:v>12.854412368470948</c:v>
                </c:pt>
                <c:pt idx="3">
                  <c:v>1.72</c:v>
                </c:pt>
                <c:pt idx="4">
                  <c:v>1.8850201354659977</c:v>
                </c:pt>
                <c:pt idx="5">
                  <c:v>1.3559070076254056</c:v>
                </c:pt>
                <c:pt idx="6">
                  <c:v>1.8591757402566604</c:v>
                </c:pt>
                <c:pt idx="7">
                  <c:v>5.4746377815597933</c:v>
                </c:pt>
                <c:pt idx="8">
                  <c:v>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6-5749-B793-377C46F85BA5}"/>
            </c:ext>
          </c:extLst>
        </c:ser>
        <c:ser>
          <c:idx val="2"/>
          <c:order val="2"/>
          <c:tx>
            <c:strRef>
              <c:f>汇总!$K$1</c:f>
              <c:strCache>
                <c:ptCount val="1"/>
                <c:pt idx="0">
                  <c:v>SF10K</c:v>
                </c:pt>
              </c:strCache>
            </c:strRef>
          </c:tx>
          <c:spPr>
            <a:pattFill prst="dkHorz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汇总!$H$2:$H$10</c:f>
              <c:strCache>
                <c:ptCount val="9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</c:strCache>
            </c:strRef>
          </c:cat>
          <c:val>
            <c:numRef>
              <c:f>汇总!$K$2:$K$10</c:f>
              <c:numCache>
                <c:formatCode>General</c:formatCode>
                <c:ptCount val="9"/>
                <c:pt idx="0">
                  <c:v>2.0052222233881416</c:v>
                </c:pt>
                <c:pt idx="1">
                  <c:v>0.23</c:v>
                </c:pt>
                <c:pt idx="2">
                  <c:v>8.86074325477842</c:v>
                </c:pt>
                <c:pt idx="3">
                  <c:v>2.38</c:v>
                </c:pt>
                <c:pt idx="4">
                  <c:v>3.2226046498331042</c:v>
                </c:pt>
                <c:pt idx="5">
                  <c:v>1.7965732048237277</c:v>
                </c:pt>
                <c:pt idx="6">
                  <c:v>2.3627305326275678</c:v>
                </c:pt>
                <c:pt idx="7">
                  <c:v>5.8575702213255196</c:v>
                </c:pt>
                <c:pt idx="8">
                  <c:v>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6-5749-B793-377C46F85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830720"/>
        <c:axId val="805878512"/>
      </c:barChart>
      <c:catAx>
        <c:axId val="9148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78512"/>
        <c:crosses val="autoZero"/>
        <c:auto val="1"/>
        <c:lblAlgn val="ctr"/>
        <c:lblOffset val="100"/>
        <c:noMultiLvlLbl val="0"/>
      </c:catAx>
      <c:valAx>
        <c:axId val="80587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307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6</xdr:col>
      <xdr:colOff>444500</xdr:colOff>
      <xdr:row>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432E20-7EDB-BCAD-D038-C239C7C38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D77E-7319-B945-B8DB-5206E918BCAB}">
  <dimension ref="A1:M56"/>
  <sheetViews>
    <sheetView topLeftCell="B36" workbookViewId="0">
      <selection activeCell="M49" sqref="M49"/>
    </sheetView>
  </sheetViews>
  <sheetFormatPr baseColWidth="10" defaultRowHeight="16" x14ac:dyDescent="0.2"/>
  <cols>
    <col min="1" max="1" width="24.6640625" customWidth="1"/>
    <col min="2" max="2" width="23.1640625" customWidth="1"/>
    <col min="3" max="3" width="21.33203125" customWidth="1"/>
    <col min="4" max="4" width="14.83203125" customWidth="1"/>
    <col min="5" max="5" width="18.83203125" customWidth="1"/>
    <col min="7" max="7" width="17.6640625" customWidth="1"/>
  </cols>
  <sheetData>
    <row r="1" spans="1:13" x14ac:dyDescent="0.2">
      <c r="A1" t="s">
        <v>0</v>
      </c>
    </row>
    <row r="2" spans="1:13" x14ac:dyDescent="0.2">
      <c r="A2" t="s">
        <v>1</v>
      </c>
      <c r="B2">
        <v>18.978079000000001</v>
      </c>
    </row>
    <row r="3" spans="1:13" x14ac:dyDescent="0.2">
      <c r="A3" t="s">
        <v>2</v>
      </c>
      <c r="C3" t="s">
        <v>4</v>
      </c>
      <c r="D3" t="s">
        <v>5</v>
      </c>
      <c r="E3" t="s">
        <v>6</v>
      </c>
      <c r="G3" t="s">
        <v>12</v>
      </c>
      <c r="H3" t="s">
        <v>13</v>
      </c>
      <c r="K3" t="s">
        <v>28</v>
      </c>
      <c r="L3" t="s">
        <v>29</v>
      </c>
    </row>
    <row r="4" spans="1:13" x14ac:dyDescent="0.2">
      <c r="B4">
        <v>12603.067972000001</v>
      </c>
      <c r="C4">
        <v>12603.067972000001</v>
      </c>
      <c r="D4">
        <v>2659.3700880000001</v>
      </c>
      <c r="E4">
        <v>5398.1233519999996</v>
      </c>
      <c r="F4">
        <f>D4+E4</f>
        <v>8057.4934400000002</v>
      </c>
      <c r="G4">
        <f>SUM(F4:F11)</f>
        <v>87074.457370999997</v>
      </c>
      <c r="H4">
        <v>34346.384276999997</v>
      </c>
      <c r="I4">
        <f>G4/H4</f>
        <v>2.5351855574884858</v>
      </c>
      <c r="K4">
        <f>SUM(C4:C11)</f>
        <v>101139.55116</v>
      </c>
      <c r="L4">
        <v>2800</v>
      </c>
      <c r="M4">
        <f>K4/L4</f>
        <v>36.121268271428569</v>
      </c>
    </row>
    <row r="5" spans="1:13" x14ac:dyDescent="0.2">
      <c r="B5">
        <v>12795.142304000001</v>
      </c>
      <c r="C5">
        <v>12795.142304000001</v>
      </c>
      <c r="D5">
        <v>2693.0834180000002</v>
      </c>
      <c r="E5">
        <v>6699.2935790000001</v>
      </c>
      <c r="F5">
        <f t="shared" ref="F5:F11" si="0">D5+E5</f>
        <v>9392.3769969999994</v>
      </c>
    </row>
    <row r="6" spans="1:13" x14ac:dyDescent="0.2">
      <c r="B6">
        <v>12651.928400000001</v>
      </c>
      <c r="C6">
        <v>12651.928400000001</v>
      </c>
      <c r="D6">
        <v>2651.1026179999999</v>
      </c>
      <c r="E6">
        <v>7882.8983150000004</v>
      </c>
      <c r="F6">
        <f t="shared" si="0"/>
        <v>10534.000932999999</v>
      </c>
    </row>
    <row r="7" spans="1:13" x14ac:dyDescent="0.2">
      <c r="B7">
        <v>12617.901771999999</v>
      </c>
      <c r="C7">
        <v>12617.901771999999</v>
      </c>
      <c r="D7">
        <v>2678.8321489999998</v>
      </c>
      <c r="E7">
        <v>7159.6143190000003</v>
      </c>
      <c r="F7">
        <f t="shared" si="0"/>
        <v>9838.4464680000001</v>
      </c>
    </row>
    <row r="8" spans="1:13" x14ac:dyDescent="0.2">
      <c r="B8">
        <v>12669.564332</v>
      </c>
      <c r="C8">
        <v>12669.564332</v>
      </c>
      <c r="D8">
        <v>2671.3385400000002</v>
      </c>
      <c r="E8">
        <v>10547.530518</v>
      </c>
      <c r="F8">
        <f t="shared" si="0"/>
        <v>13218.869058</v>
      </c>
    </row>
    <row r="9" spans="1:13" x14ac:dyDescent="0.2">
      <c r="B9">
        <v>12631.110176</v>
      </c>
      <c r="C9">
        <v>12631.110176</v>
      </c>
      <c r="D9">
        <v>2671.9854220000002</v>
      </c>
      <c r="E9">
        <v>18595.982177999998</v>
      </c>
      <c r="F9">
        <f t="shared" si="0"/>
        <v>21267.9676</v>
      </c>
    </row>
    <row r="10" spans="1:13" x14ac:dyDescent="0.2">
      <c r="B10">
        <v>12573.662832</v>
      </c>
      <c r="C10">
        <v>12573.662832</v>
      </c>
      <c r="D10">
        <v>2652.9088190000002</v>
      </c>
      <c r="E10">
        <v>5311.423401</v>
      </c>
      <c r="F10">
        <f t="shared" si="0"/>
        <v>7964.3322200000002</v>
      </c>
    </row>
    <row r="11" spans="1:13" x14ac:dyDescent="0.2">
      <c r="B11">
        <v>12597.173371999999</v>
      </c>
      <c r="C11">
        <v>12597.173371999999</v>
      </c>
      <c r="D11">
        <v>2686.913587</v>
      </c>
      <c r="E11">
        <v>4114.0570680000001</v>
      </c>
      <c r="F11">
        <f t="shared" si="0"/>
        <v>6800.9706550000001</v>
      </c>
    </row>
    <row r="12" spans="1:13" x14ac:dyDescent="0.2">
      <c r="A12" t="s">
        <v>7</v>
      </c>
    </row>
    <row r="13" spans="1:13" x14ac:dyDescent="0.2">
      <c r="B13">
        <v>12579.978928</v>
      </c>
      <c r="C13">
        <v>12579.978928</v>
      </c>
      <c r="D13">
        <v>2640.3190100000002</v>
      </c>
      <c r="E13">
        <v>561.84959600000002</v>
      </c>
      <c r="F13">
        <f>D13+E13</f>
        <v>3202.1686060000002</v>
      </c>
      <c r="G13">
        <f>SUM(F13:F20)</f>
        <v>25272.562784999998</v>
      </c>
      <c r="H13">
        <v>1554.2922590000001</v>
      </c>
      <c r="I13">
        <f>G13/H13</f>
        <v>16.259852443233456</v>
      </c>
      <c r="K13">
        <f>SUM(C13:C20)</f>
        <v>101115.67119200001</v>
      </c>
      <c r="L13">
        <v>400</v>
      </c>
      <c r="M13">
        <f>K13/L13</f>
        <v>252.78917798000003</v>
      </c>
    </row>
    <row r="14" spans="1:13" x14ac:dyDescent="0.2">
      <c r="B14">
        <v>12797.385211999999</v>
      </c>
      <c r="C14">
        <v>12797.385211999999</v>
      </c>
      <c r="D14">
        <v>2690.856436</v>
      </c>
      <c r="E14">
        <v>431.38042100000001</v>
      </c>
      <c r="F14">
        <f t="shared" ref="F14:F20" si="1">D14+E14</f>
        <v>3122.2368569999999</v>
      </c>
    </row>
    <row r="15" spans="1:13" x14ac:dyDescent="0.2">
      <c r="B15">
        <v>12654.036</v>
      </c>
      <c r="C15">
        <v>12654.036</v>
      </c>
      <c r="D15">
        <v>2653.5996639999998</v>
      </c>
      <c r="E15">
        <v>450.11110100000002</v>
      </c>
      <c r="F15">
        <f t="shared" si="1"/>
        <v>3103.7107649999998</v>
      </c>
    </row>
    <row r="16" spans="1:13" x14ac:dyDescent="0.2">
      <c r="B16">
        <v>12627.983724</v>
      </c>
      <c r="C16">
        <v>12627.983724</v>
      </c>
      <c r="D16">
        <v>2649.7364929999999</v>
      </c>
      <c r="E16">
        <v>794.34304099999997</v>
      </c>
      <c r="F16">
        <f t="shared" si="1"/>
        <v>3444.079534</v>
      </c>
    </row>
    <row r="17" spans="1:13" x14ac:dyDescent="0.2">
      <c r="B17">
        <v>12685.761412</v>
      </c>
      <c r="C17">
        <v>12685.761412</v>
      </c>
      <c r="D17">
        <v>2662.5439470000001</v>
      </c>
      <c r="E17">
        <v>516.79807900000003</v>
      </c>
      <c r="F17">
        <f t="shared" si="1"/>
        <v>3179.3420260000003</v>
      </c>
    </row>
    <row r="18" spans="1:13" x14ac:dyDescent="0.2">
      <c r="B18">
        <v>12600.077079999999</v>
      </c>
      <c r="C18">
        <v>12600.077079999999</v>
      </c>
      <c r="D18">
        <v>2649.53307</v>
      </c>
      <c r="E18">
        <v>552.980324</v>
      </c>
      <c r="F18">
        <f t="shared" si="1"/>
        <v>3202.5133940000001</v>
      </c>
    </row>
    <row r="19" spans="1:13" x14ac:dyDescent="0.2">
      <c r="B19">
        <v>12600.653507999999</v>
      </c>
      <c r="C19">
        <v>12600.653507999999</v>
      </c>
      <c r="D19">
        <v>2642.215224</v>
      </c>
      <c r="E19">
        <v>394.38224400000001</v>
      </c>
      <c r="F19">
        <f t="shared" si="1"/>
        <v>3036.5974679999999</v>
      </c>
    </row>
    <row r="20" spans="1:13" x14ac:dyDescent="0.2">
      <c r="B20">
        <v>12569.795328</v>
      </c>
      <c r="C20">
        <v>12569.795328</v>
      </c>
      <c r="D20">
        <v>2641.0677989999999</v>
      </c>
      <c r="E20">
        <v>340.84633600000001</v>
      </c>
      <c r="F20">
        <f t="shared" si="1"/>
        <v>2981.914135</v>
      </c>
    </row>
    <row r="21" spans="1:13" x14ac:dyDescent="0.2">
      <c r="A21" t="s">
        <v>8</v>
      </c>
    </row>
    <row r="22" spans="1:13" x14ac:dyDescent="0.2">
      <c r="B22">
        <v>12621.013872</v>
      </c>
      <c r="C22">
        <v>12621.013872</v>
      </c>
      <c r="D22">
        <v>1404.5898199999999</v>
      </c>
      <c r="E22">
        <v>98900.040039</v>
      </c>
      <c r="F22">
        <f>D22+E22</f>
        <v>100304.62985899999</v>
      </c>
      <c r="G22">
        <f>SUM(F22:F29)</f>
        <v>660026.27016099996</v>
      </c>
      <c r="H22">
        <v>251203.050781</v>
      </c>
      <c r="I22">
        <f>G22/H22</f>
        <v>2.6274612036316944</v>
      </c>
      <c r="K22">
        <f>SUM(C22:C29)</f>
        <v>101175.011316</v>
      </c>
      <c r="L22">
        <v>4000</v>
      </c>
      <c r="M22">
        <f>K22/L22</f>
        <v>25.293752829000002</v>
      </c>
    </row>
    <row r="23" spans="1:13" x14ac:dyDescent="0.2">
      <c r="B23">
        <v>12785.789132</v>
      </c>
      <c r="C23">
        <v>12785.789132</v>
      </c>
      <c r="D23">
        <v>2691.3794240000002</v>
      </c>
      <c r="E23">
        <v>34150.015259</v>
      </c>
      <c r="F23">
        <f t="shared" ref="F23:F29" si="2">D23+E23</f>
        <v>36841.394682999999</v>
      </c>
    </row>
    <row r="24" spans="1:13" x14ac:dyDescent="0.2">
      <c r="B24">
        <v>12643.903420000001</v>
      </c>
      <c r="C24">
        <v>12643.903420000001</v>
      </c>
      <c r="D24">
        <v>2667.2361380000002</v>
      </c>
      <c r="E24">
        <v>78889.973937999996</v>
      </c>
      <c r="F24">
        <f t="shared" si="2"/>
        <v>81557.210075999988</v>
      </c>
    </row>
    <row r="25" spans="1:13" x14ac:dyDescent="0.2">
      <c r="B25">
        <v>12629.507248</v>
      </c>
      <c r="C25">
        <v>12629.507248</v>
      </c>
      <c r="D25">
        <v>2667.254351</v>
      </c>
      <c r="E25">
        <v>113436.08154299999</v>
      </c>
      <c r="F25">
        <f t="shared" si="2"/>
        <v>116103.33589399999</v>
      </c>
    </row>
    <row r="26" spans="1:13" x14ac:dyDescent="0.2">
      <c r="B26">
        <v>12690.51434</v>
      </c>
      <c r="C26">
        <v>12690.51434</v>
      </c>
      <c r="D26">
        <v>2679.7295319999998</v>
      </c>
      <c r="E26">
        <v>87458.737061000007</v>
      </c>
      <c r="F26">
        <f t="shared" si="2"/>
        <v>90138.466593000005</v>
      </c>
    </row>
    <row r="27" spans="1:13" x14ac:dyDescent="0.2">
      <c r="B27">
        <v>12621.197516</v>
      </c>
      <c r="C27">
        <v>12621.197516</v>
      </c>
      <c r="D27">
        <v>2662.4287650000001</v>
      </c>
      <c r="E27">
        <v>76686.575316999995</v>
      </c>
      <c r="F27">
        <f t="shared" si="2"/>
        <v>79349.004081999999</v>
      </c>
    </row>
    <row r="28" spans="1:13" x14ac:dyDescent="0.2">
      <c r="B28">
        <v>12599.413816</v>
      </c>
      <c r="C28">
        <v>12599.413816</v>
      </c>
      <c r="D28">
        <v>2661.412041</v>
      </c>
      <c r="E28">
        <v>103953.103638</v>
      </c>
      <c r="F28">
        <f t="shared" si="2"/>
        <v>106614.515679</v>
      </c>
    </row>
    <row r="29" spans="1:13" x14ac:dyDescent="0.2">
      <c r="B29">
        <v>12583.671972</v>
      </c>
      <c r="C29">
        <v>12583.671972</v>
      </c>
      <c r="D29">
        <v>2658.5594249999999</v>
      </c>
      <c r="E29">
        <v>46459.153870000002</v>
      </c>
      <c r="F29">
        <f t="shared" si="2"/>
        <v>49117.713295000001</v>
      </c>
    </row>
    <row r="30" spans="1:13" x14ac:dyDescent="0.2">
      <c r="A30" t="s">
        <v>9</v>
      </c>
    </row>
    <row r="31" spans="1:13" x14ac:dyDescent="0.2">
      <c r="B31">
        <v>12599.878428</v>
      </c>
      <c r="C31">
        <v>12599.878428</v>
      </c>
      <c r="D31">
        <v>2648.8096839999998</v>
      </c>
      <c r="E31">
        <v>62955.377379999998</v>
      </c>
      <c r="F31">
        <f>D31+E31</f>
        <v>65604.187063999998</v>
      </c>
      <c r="G31">
        <f>SUM(F31:F38)</f>
        <v>349296.14134999999</v>
      </c>
      <c r="H31">
        <v>106685.254395</v>
      </c>
      <c r="I31">
        <f>G31/H31</f>
        <v>3.2740807839923041</v>
      </c>
      <c r="K31">
        <f>SUM(C31:C38)</f>
        <v>101091.32105199998</v>
      </c>
      <c r="L31">
        <v>600</v>
      </c>
      <c r="M31">
        <f>K31/L31</f>
        <v>168.48553508666663</v>
      </c>
    </row>
    <row r="32" spans="1:13" x14ac:dyDescent="0.2">
      <c r="B32">
        <v>12775.022172000001</v>
      </c>
      <c r="C32">
        <v>12775.022172000001</v>
      </c>
      <c r="D32">
        <v>2682.4200780000001</v>
      </c>
      <c r="E32">
        <v>24714.723450000001</v>
      </c>
      <c r="F32">
        <f t="shared" ref="F32:F38" si="3">D32+E32</f>
        <v>27397.143528000001</v>
      </c>
    </row>
    <row r="33" spans="1:13" x14ac:dyDescent="0.2">
      <c r="B33">
        <v>12668.651664000001</v>
      </c>
      <c r="C33">
        <v>12668.651664000001</v>
      </c>
      <c r="D33">
        <v>2658.9985379999998</v>
      </c>
      <c r="E33">
        <v>29366.038513</v>
      </c>
      <c r="F33">
        <f t="shared" si="3"/>
        <v>32025.037050999999</v>
      </c>
    </row>
    <row r="34" spans="1:13" x14ac:dyDescent="0.2">
      <c r="B34">
        <v>12611.240404</v>
      </c>
      <c r="C34">
        <v>12611.240404</v>
      </c>
      <c r="D34">
        <v>2652.0001659999998</v>
      </c>
      <c r="E34">
        <v>78858.337769000005</v>
      </c>
      <c r="F34">
        <f t="shared" si="3"/>
        <v>81510.337935000003</v>
      </c>
    </row>
    <row r="35" spans="1:13" x14ac:dyDescent="0.2">
      <c r="B35">
        <v>12682.875544</v>
      </c>
      <c r="C35">
        <v>12682.875544</v>
      </c>
      <c r="D35">
        <v>2672.9279860000001</v>
      </c>
      <c r="E35">
        <v>44934.30545</v>
      </c>
      <c r="F35">
        <f t="shared" si="3"/>
        <v>47607.233436000002</v>
      </c>
    </row>
    <row r="36" spans="1:13" x14ac:dyDescent="0.2">
      <c r="B36">
        <v>12580.208096</v>
      </c>
      <c r="C36">
        <v>12580.208096</v>
      </c>
      <c r="D36">
        <v>2637.4013730000001</v>
      </c>
      <c r="E36">
        <v>37068.513245000002</v>
      </c>
      <c r="F36">
        <f t="shared" si="3"/>
        <v>39705.914618000003</v>
      </c>
    </row>
    <row r="37" spans="1:13" x14ac:dyDescent="0.2">
      <c r="B37">
        <v>12591.003656000001</v>
      </c>
      <c r="C37">
        <v>12591.003656000001</v>
      </c>
      <c r="D37">
        <v>2639.610357</v>
      </c>
      <c r="E37">
        <v>28998.521239999998</v>
      </c>
      <c r="F37">
        <f t="shared" si="3"/>
        <v>31638.131597</v>
      </c>
    </row>
    <row r="38" spans="1:13" x14ac:dyDescent="0.2">
      <c r="B38">
        <v>12582.441088</v>
      </c>
      <c r="C38">
        <v>12582.441088</v>
      </c>
      <c r="D38">
        <v>2643.3110590000001</v>
      </c>
      <c r="E38">
        <v>21164.845062</v>
      </c>
      <c r="F38">
        <f t="shared" si="3"/>
        <v>23808.156121</v>
      </c>
    </row>
    <row r="39" spans="1:13" x14ac:dyDescent="0.2">
      <c r="A39" t="s">
        <v>10</v>
      </c>
    </row>
    <row r="40" spans="1:13" x14ac:dyDescent="0.2">
      <c r="B40">
        <v>12561.646995999999</v>
      </c>
      <c r="C40">
        <v>12561.646995999999</v>
      </c>
      <c r="D40">
        <v>2633.8022270000001</v>
      </c>
      <c r="E40">
        <v>1347498.9882809999</v>
      </c>
      <c r="F40">
        <f>D40+E40</f>
        <v>1350132.7905079999</v>
      </c>
      <c r="G40">
        <f>SUM(F40:F47)</f>
        <v>5710517.7463030005</v>
      </c>
      <c r="H40">
        <v>2267651.78125</v>
      </c>
      <c r="I40">
        <f>G40/H40</f>
        <v>2.5182516087876534</v>
      </c>
      <c r="K40">
        <f>SUM(C40:C47)</f>
        <v>101110.61040400001</v>
      </c>
      <c r="L40">
        <v>360</v>
      </c>
      <c r="M40">
        <f>K40/L40</f>
        <v>280.86280667777777</v>
      </c>
    </row>
    <row r="41" spans="1:13" x14ac:dyDescent="0.2">
      <c r="B41">
        <v>12753.639015999999</v>
      </c>
      <c r="C41">
        <v>12753.639015999999</v>
      </c>
      <c r="D41">
        <v>2671.6509839999999</v>
      </c>
      <c r="E41">
        <v>214818.021973</v>
      </c>
      <c r="F41">
        <f t="shared" ref="F41:F47" si="4">D41+E41</f>
        <v>217489.672957</v>
      </c>
    </row>
    <row r="42" spans="1:13" x14ac:dyDescent="0.2">
      <c r="B42">
        <v>12650.313928</v>
      </c>
      <c r="C42">
        <v>12650.313928</v>
      </c>
      <c r="D42">
        <v>2653.3681969999998</v>
      </c>
      <c r="E42">
        <v>196753.646484</v>
      </c>
      <c r="F42">
        <f t="shared" si="4"/>
        <v>199407.014681</v>
      </c>
    </row>
    <row r="43" spans="1:13" x14ac:dyDescent="0.2">
      <c r="B43">
        <v>12658.783192000001</v>
      </c>
      <c r="C43">
        <v>12658.783192000001</v>
      </c>
      <c r="D43">
        <v>2654.722158</v>
      </c>
      <c r="E43">
        <v>2617872.2109380001</v>
      </c>
      <c r="F43">
        <f t="shared" si="4"/>
        <v>2620526.933096</v>
      </c>
    </row>
    <row r="44" spans="1:13" x14ac:dyDescent="0.2">
      <c r="B44">
        <v>12704.486336</v>
      </c>
      <c r="C44">
        <v>12704.486336</v>
      </c>
      <c r="D44">
        <v>2662.9288459999998</v>
      </c>
      <c r="E44">
        <v>158566.136963</v>
      </c>
      <c r="F44">
        <f t="shared" si="4"/>
        <v>161229.06580899999</v>
      </c>
    </row>
    <row r="45" spans="1:13" x14ac:dyDescent="0.2">
      <c r="B45">
        <v>12617.507564</v>
      </c>
      <c r="C45">
        <v>12617.507564</v>
      </c>
      <c r="D45">
        <v>2647.0878459999999</v>
      </c>
      <c r="E45">
        <v>188490.90332000001</v>
      </c>
      <c r="F45">
        <f t="shared" si="4"/>
        <v>191137.99116600002</v>
      </c>
    </row>
    <row r="46" spans="1:13" x14ac:dyDescent="0.2">
      <c r="B46">
        <v>12602.26406</v>
      </c>
      <c r="C46">
        <v>12602.26406</v>
      </c>
      <c r="D46">
        <v>2641.5499599999998</v>
      </c>
      <c r="E46">
        <v>604541.52929700003</v>
      </c>
      <c r="F46">
        <f t="shared" si="4"/>
        <v>607183.079257</v>
      </c>
    </row>
    <row r="47" spans="1:13" x14ac:dyDescent="0.2">
      <c r="B47">
        <v>12561.969311999999</v>
      </c>
      <c r="C47">
        <v>12561.969311999999</v>
      </c>
      <c r="D47">
        <v>2633.2710950000001</v>
      </c>
      <c r="E47">
        <v>360777.92773400003</v>
      </c>
      <c r="F47">
        <f t="shared" si="4"/>
        <v>363411.198829</v>
      </c>
    </row>
    <row r="48" spans="1:13" x14ac:dyDescent="0.2">
      <c r="A48" t="s">
        <v>11</v>
      </c>
    </row>
    <row r="49" spans="2:13" x14ac:dyDescent="0.2">
      <c r="B49">
        <v>12605.553988</v>
      </c>
      <c r="C49">
        <v>12605.553988</v>
      </c>
      <c r="D49">
        <v>2666.5600359999999</v>
      </c>
      <c r="E49">
        <v>240600.322021</v>
      </c>
      <c r="F49">
        <f>D49+E49</f>
        <v>243266.88205700001</v>
      </c>
      <c r="G49">
        <f>SUM(F49:F56)</f>
        <v>1382955.1229719997</v>
      </c>
      <c r="H49">
        <v>699927.66992200003</v>
      </c>
      <c r="I49">
        <f>G49/H49</f>
        <v>1.9758543381005587</v>
      </c>
      <c r="K49">
        <f>SUM(C49:C56)</f>
        <v>101146.95006800001</v>
      </c>
      <c r="L49">
        <v>140</v>
      </c>
      <c r="M49">
        <f>K49/L49</f>
        <v>722.47821477142861</v>
      </c>
    </row>
    <row r="50" spans="2:13" x14ac:dyDescent="0.2">
      <c r="B50">
        <v>12797.797683999999</v>
      </c>
      <c r="C50">
        <v>12797.797683999999</v>
      </c>
      <c r="D50">
        <v>2708.0792609999999</v>
      </c>
      <c r="E50">
        <v>62645.774963000003</v>
      </c>
      <c r="F50">
        <f t="shared" ref="F50:F56" si="5">D50+E50</f>
        <v>65353.854224000002</v>
      </c>
    </row>
    <row r="51" spans="2:13" x14ac:dyDescent="0.2">
      <c r="B51">
        <v>12639.456232</v>
      </c>
      <c r="C51">
        <v>12639.456232</v>
      </c>
      <c r="D51">
        <v>2672.718089</v>
      </c>
      <c r="E51">
        <v>68315.989501999997</v>
      </c>
      <c r="F51">
        <f t="shared" si="5"/>
        <v>70988.707590999999</v>
      </c>
    </row>
    <row r="52" spans="2:13" x14ac:dyDescent="0.2">
      <c r="B52">
        <v>12657.713787999999</v>
      </c>
      <c r="C52">
        <v>12657.713787999999</v>
      </c>
      <c r="D52">
        <v>2681.1618010000002</v>
      </c>
      <c r="E52">
        <v>659144.609375</v>
      </c>
      <c r="F52">
        <f t="shared" si="5"/>
        <v>661825.77117600001</v>
      </c>
    </row>
    <row r="53" spans="2:13" x14ac:dyDescent="0.2">
      <c r="B53">
        <v>12673.538812000001</v>
      </c>
      <c r="C53">
        <v>12673.538812000001</v>
      </c>
      <c r="D53">
        <v>2683.1160599999998</v>
      </c>
      <c r="E53">
        <v>17821.000977</v>
      </c>
      <c r="F53">
        <f t="shared" si="5"/>
        <v>20504.117037</v>
      </c>
    </row>
    <row r="54" spans="2:13" x14ac:dyDescent="0.2">
      <c r="B54">
        <v>12606.776516</v>
      </c>
      <c r="C54">
        <v>12606.776516</v>
      </c>
      <c r="D54">
        <v>2660.104194</v>
      </c>
      <c r="E54">
        <v>37497.968444999999</v>
      </c>
      <c r="F54">
        <f t="shared" si="5"/>
        <v>40158.072638999998</v>
      </c>
    </row>
    <row r="55" spans="2:13" x14ac:dyDescent="0.2">
      <c r="B55">
        <v>12576.679507999999</v>
      </c>
      <c r="C55">
        <v>12576.679507999999</v>
      </c>
      <c r="D55">
        <v>2654.3909130000002</v>
      </c>
      <c r="E55">
        <v>189147.915527</v>
      </c>
      <c r="F55">
        <f t="shared" si="5"/>
        <v>191802.30644000001</v>
      </c>
    </row>
    <row r="56" spans="2:13" x14ac:dyDescent="0.2">
      <c r="B56">
        <v>12589.43354</v>
      </c>
      <c r="C56">
        <v>12589.43354</v>
      </c>
      <c r="D56">
        <v>2658.8587680000001</v>
      </c>
      <c r="E56">
        <v>86396.553039999999</v>
      </c>
      <c r="F56">
        <f t="shared" si="5"/>
        <v>89055.411808000004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CA40-41C4-0C41-9427-0F7225E3C27E}">
  <dimension ref="A1:P56"/>
  <sheetViews>
    <sheetView topLeftCell="E33" workbookViewId="0">
      <selection activeCell="P49" sqref="P49"/>
    </sheetView>
  </sheetViews>
  <sheetFormatPr baseColWidth="10" defaultRowHeight="16" x14ac:dyDescent="0.2"/>
  <cols>
    <col min="2" max="2" width="22" customWidth="1"/>
    <col min="3" max="3" width="25.83203125" customWidth="1"/>
    <col min="4" max="4" width="20" customWidth="1"/>
    <col min="5" max="5" width="16.83203125" customWidth="1"/>
    <col min="6" max="6" width="21" customWidth="1"/>
    <col min="7" max="7" width="16.1640625" customWidth="1"/>
    <col min="8" max="8" width="16.33203125" customWidth="1"/>
  </cols>
  <sheetData>
    <row r="1" spans="1:16" x14ac:dyDescent="0.2">
      <c r="A1" t="s">
        <v>26</v>
      </c>
    </row>
    <row r="2" spans="1:16" x14ac:dyDescent="0.2">
      <c r="A2" t="s">
        <v>1</v>
      </c>
      <c r="B2">
        <v>15.94767</v>
      </c>
    </row>
    <row r="3" spans="1:16" x14ac:dyDescent="0.2">
      <c r="A3" t="s">
        <v>2</v>
      </c>
    </row>
    <row r="4" spans="1:16" x14ac:dyDescent="0.2">
      <c r="A4" t="s">
        <v>3</v>
      </c>
      <c r="B4">
        <v>22874.571324</v>
      </c>
      <c r="C4" t="s">
        <v>4</v>
      </c>
      <c r="D4">
        <v>14001.000631999999</v>
      </c>
      <c r="E4" t="s">
        <v>5</v>
      </c>
      <c r="F4">
        <v>5260.7322839999997</v>
      </c>
      <c r="G4" t="s">
        <v>6</v>
      </c>
      <c r="H4">
        <v>7052.5480960000004</v>
      </c>
      <c r="I4">
        <f>F4+H4</f>
        <v>12313.28038</v>
      </c>
      <c r="J4">
        <f>SUM(I4:I11)</f>
        <v>77774.780987000006</v>
      </c>
      <c r="K4">
        <v>44677.799805000002</v>
      </c>
      <c r="L4">
        <f>J4/K4</f>
        <v>1.7407925485689659</v>
      </c>
      <c r="N4">
        <f>SUM(D4:D11)</f>
        <v>112008.00426799999</v>
      </c>
      <c r="O4">
        <v>6400</v>
      </c>
      <c r="P4">
        <f>N4/O4</f>
        <v>17.501250666874999</v>
      </c>
    </row>
    <row r="5" spans="1:16" x14ac:dyDescent="0.2">
      <c r="A5" t="s">
        <v>3</v>
      </c>
      <c r="B5">
        <v>22834.294539999999</v>
      </c>
      <c r="C5" t="s">
        <v>4</v>
      </c>
      <c r="D5">
        <v>14001.000268</v>
      </c>
      <c r="E5" t="s">
        <v>5</v>
      </c>
      <c r="F5">
        <v>2896.0370710000002</v>
      </c>
      <c r="G5" t="s">
        <v>6</v>
      </c>
      <c r="H5">
        <v>5876.1376339999997</v>
      </c>
      <c r="I5">
        <f t="shared" ref="I5:I11" si="0">F5+H5</f>
        <v>8772.1747049999994</v>
      </c>
    </row>
    <row r="6" spans="1:16" x14ac:dyDescent="0.2">
      <c r="A6" t="s">
        <v>3</v>
      </c>
      <c r="B6">
        <v>22842.756939999999</v>
      </c>
      <c r="C6" t="s">
        <v>4</v>
      </c>
      <c r="D6">
        <v>14001.000324000001</v>
      </c>
      <c r="E6" t="s">
        <v>5</v>
      </c>
      <c r="F6">
        <v>2876.3317630000001</v>
      </c>
      <c r="G6" t="s">
        <v>6</v>
      </c>
      <c r="H6">
        <v>6588.818115</v>
      </c>
      <c r="I6">
        <f t="shared" si="0"/>
        <v>9465.1498780000002</v>
      </c>
    </row>
    <row r="7" spans="1:16" x14ac:dyDescent="0.2">
      <c r="A7" t="s">
        <v>3</v>
      </c>
      <c r="B7">
        <v>22843.686487999999</v>
      </c>
      <c r="C7" t="s">
        <v>4</v>
      </c>
      <c r="D7">
        <v>14001.000512000001</v>
      </c>
      <c r="E7" t="s">
        <v>5</v>
      </c>
      <c r="F7">
        <v>2876.5350469999998</v>
      </c>
      <c r="G7" t="s">
        <v>6</v>
      </c>
      <c r="H7">
        <v>5600.7290039999998</v>
      </c>
      <c r="I7">
        <f t="shared" si="0"/>
        <v>8477.2640510000001</v>
      </c>
    </row>
    <row r="8" spans="1:16" x14ac:dyDescent="0.2">
      <c r="A8" t="s">
        <v>3</v>
      </c>
      <c r="B8">
        <v>22854.301447999998</v>
      </c>
      <c r="C8" t="s">
        <v>4</v>
      </c>
      <c r="D8">
        <v>14001.0002</v>
      </c>
      <c r="E8" t="s">
        <v>5</v>
      </c>
      <c r="F8">
        <v>5273.6783130000003</v>
      </c>
      <c r="G8" t="s">
        <v>6</v>
      </c>
      <c r="H8">
        <v>6235.9282229999999</v>
      </c>
      <c r="I8">
        <f t="shared" si="0"/>
        <v>11509.606535999999</v>
      </c>
    </row>
    <row r="9" spans="1:16" x14ac:dyDescent="0.2">
      <c r="A9" t="s">
        <v>3</v>
      </c>
      <c r="B9">
        <v>22836.045655999998</v>
      </c>
      <c r="C9" t="s">
        <v>4</v>
      </c>
      <c r="D9">
        <v>14001.000459999999</v>
      </c>
      <c r="E9" t="s">
        <v>5</v>
      </c>
      <c r="F9">
        <v>2889.5484569999999</v>
      </c>
      <c r="G9" t="s">
        <v>6</v>
      </c>
      <c r="H9">
        <v>5343.2372439999999</v>
      </c>
      <c r="I9">
        <f t="shared" si="0"/>
        <v>8232.7857010000007</v>
      </c>
    </row>
    <row r="10" spans="1:16" x14ac:dyDescent="0.2">
      <c r="A10" t="s">
        <v>3</v>
      </c>
      <c r="B10">
        <v>22774.709868000002</v>
      </c>
      <c r="C10" t="s">
        <v>4</v>
      </c>
      <c r="D10">
        <v>14001.000888</v>
      </c>
      <c r="E10" t="s">
        <v>5</v>
      </c>
      <c r="F10">
        <v>2874.4660600000002</v>
      </c>
      <c r="G10" t="s">
        <v>6</v>
      </c>
      <c r="H10">
        <v>7220.9812620000002</v>
      </c>
      <c r="I10">
        <f t="shared" si="0"/>
        <v>10095.447322</v>
      </c>
    </row>
    <row r="11" spans="1:16" x14ac:dyDescent="0.2">
      <c r="A11" t="s">
        <v>3</v>
      </c>
      <c r="B11">
        <v>22793.152699999999</v>
      </c>
      <c r="C11" t="s">
        <v>4</v>
      </c>
      <c r="D11">
        <v>14001.000984</v>
      </c>
      <c r="E11" t="s">
        <v>5</v>
      </c>
      <c r="F11">
        <v>2872.925197</v>
      </c>
      <c r="G11" t="s">
        <v>6</v>
      </c>
      <c r="H11">
        <v>6036.1472169999997</v>
      </c>
      <c r="I11">
        <f t="shared" si="0"/>
        <v>8909.0724140000002</v>
      </c>
    </row>
    <row r="12" spans="1:16" x14ac:dyDescent="0.2">
      <c r="A12" t="s">
        <v>7</v>
      </c>
    </row>
    <row r="13" spans="1:16" x14ac:dyDescent="0.2">
      <c r="A13" t="s">
        <v>3</v>
      </c>
      <c r="B13">
        <v>22862.95436</v>
      </c>
      <c r="C13" t="s">
        <v>4</v>
      </c>
      <c r="D13">
        <v>14001.000120000001</v>
      </c>
      <c r="E13" t="s">
        <v>5</v>
      </c>
      <c r="F13">
        <v>2872.391666</v>
      </c>
      <c r="G13" t="s">
        <v>6</v>
      </c>
      <c r="H13">
        <v>290.97330799999997</v>
      </c>
      <c r="I13">
        <f>F13+H13</f>
        <v>3163.3649740000001</v>
      </c>
      <c r="J13">
        <f>SUM(I13:I20)</f>
        <v>27849.279461999999</v>
      </c>
      <c r="K13">
        <v>2166.515175</v>
      </c>
      <c r="L13">
        <f>J13/K13</f>
        <v>12.854412368470948</v>
      </c>
      <c r="N13">
        <f>SUM(D13:D20)</f>
        <v>112008.00278000001</v>
      </c>
      <c r="O13">
        <v>1000</v>
      </c>
      <c r="P13">
        <f>N13/O13</f>
        <v>112.00800278000001</v>
      </c>
    </row>
    <row r="14" spans="1:16" x14ac:dyDescent="0.2">
      <c r="A14" t="s">
        <v>3</v>
      </c>
      <c r="B14">
        <v>22825.822368000001</v>
      </c>
      <c r="C14" t="s">
        <v>4</v>
      </c>
      <c r="D14">
        <v>14001.00066</v>
      </c>
      <c r="E14" t="s">
        <v>5</v>
      </c>
      <c r="F14">
        <v>2896.2455679999998</v>
      </c>
      <c r="G14" t="s">
        <v>6</v>
      </c>
      <c r="H14">
        <v>264.08444700000001</v>
      </c>
      <c r="I14">
        <f t="shared" ref="I14:I20" si="1">F14+H14</f>
        <v>3160.330015</v>
      </c>
    </row>
    <row r="15" spans="1:16" x14ac:dyDescent="0.2">
      <c r="A15" t="s">
        <v>3</v>
      </c>
      <c r="B15">
        <v>22845.634416000001</v>
      </c>
      <c r="C15" t="s">
        <v>4</v>
      </c>
      <c r="D15">
        <v>14001.000072000001</v>
      </c>
      <c r="E15" t="s">
        <v>5</v>
      </c>
      <c r="F15">
        <v>3397.1907099999999</v>
      </c>
      <c r="G15" t="s">
        <v>6</v>
      </c>
      <c r="H15">
        <v>290.55785800000001</v>
      </c>
      <c r="I15">
        <f t="shared" si="1"/>
        <v>3687.748568</v>
      </c>
    </row>
    <row r="16" spans="1:16" x14ac:dyDescent="0.2">
      <c r="A16" t="s">
        <v>3</v>
      </c>
      <c r="B16">
        <v>22846.774136</v>
      </c>
      <c r="C16" t="s">
        <v>4</v>
      </c>
      <c r="D16">
        <v>14001.000540000001</v>
      </c>
      <c r="E16" t="s">
        <v>5</v>
      </c>
      <c r="F16">
        <v>4360.9720710000001</v>
      </c>
      <c r="G16" t="s">
        <v>6</v>
      </c>
      <c r="H16">
        <v>277.86195600000002</v>
      </c>
      <c r="I16">
        <f t="shared" si="1"/>
        <v>4638.8340269999999</v>
      </c>
    </row>
    <row r="17" spans="1:16" x14ac:dyDescent="0.2">
      <c r="A17" t="s">
        <v>3</v>
      </c>
      <c r="B17">
        <v>22866.547844000001</v>
      </c>
      <c r="C17" t="s">
        <v>4</v>
      </c>
      <c r="D17">
        <v>14001.000312</v>
      </c>
      <c r="E17" t="s">
        <v>5</v>
      </c>
      <c r="F17">
        <v>2915.4642290000002</v>
      </c>
      <c r="G17" t="s">
        <v>6</v>
      </c>
      <c r="H17">
        <v>329.44825400000002</v>
      </c>
      <c r="I17">
        <f t="shared" si="1"/>
        <v>3244.9124830000001</v>
      </c>
    </row>
    <row r="18" spans="1:16" x14ac:dyDescent="0.2">
      <c r="A18" t="s">
        <v>3</v>
      </c>
      <c r="B18">
        <v>22847.496024</v>
      </c>
      <c r="C18" t="s">
        <v>4</v>
      </c>
      <c r="D18">
        <v>14001.000364</v>
      </c>
      <c r="E18" t="s">
        <v>5</v>
      </c>
      <c r="F18">
        <v>3105.0235010000001</v>
      </c>
      <c r="G18" t="s">
        <v>6</v>
      </c>
      <c r="H18">
        <v>262.88080300000001</v>
      </c>
      <c r="I18">
        <f t="shared" si="1"/>
        <v>3367.9043040000001</v>
      </c>
    </row>
    <row r="19" spans="1:16" x14ac:dyDescent="0.2">
      <c r="A19" t="s">
        <v>3</v>
      </c>
      <c r="B19">
        <v>22805.023912000001</v>
      </c>
      <c r="C19" t="s">
        <v>4</v>
      </c>
      <c r="D19">
        <v>14001.000475999999</v>
      </c>
      <c r="E19" t="s">
        <v>5</v>
      </c>
      <c r="F19">
        <v>2863.4850280000001</v>
      </c>
      <c r="G19" t="s">
        <v>6</v>
      </c>
      <c r="H19">
        <v>333.24611199999998</v>
      </c>
      <c r="I19">
        <f t="shared" si="1"/>
        <v>3196.7311399999999</v>
      </c>
    </row>
    <row r="20" spans="1:16" x14ac:dyDescent="0.2">
      <c r="A20" t="s">
        <v>3</v>
      </c>
      <c r="B20">
        <v>22790.238851999999</v>
      </c>
      <c r="C20" t="s">
        <v>4</v>
      </c>
      <c r="D20">
        <v>14001.000236</v>
      </c>
      <c r="E20" t="s">
        <v>5</v>
      </c>
      <c r="F20">
        <v>3130.160543</v>
      </c>
      <c r="G20" t="s">
        <v>6</v>
      </c>
      <c r="H20">
        <v>259.293408</v>
      </c>
      <c r="I20">
        <f t="shared" si="1"/>
        <v>3389.453951</v>
      </c>
    </row>
    <row r="21" spans="1:16" x14ac:dyDescent="0.2">
      <c r="A21" t="s">
        <v>8</v>
      </c>
    </row>
    <row r="22" spans="1:16" x14ac:dyDescent="0.2">
      <c r="A22" t="s">
        <v>3</v>
      </c>
      <c r="B22">
        <v>22873.929135999999</v>
      </c>
      <c r="C22" t="s">
        <v>4</v>
      </c>
      <c r="D22">
        <v>14001.000647999999</v>
      </c>
      <c r="E22" t="s">
        <v>5</v>
      </c>
      <c r="F22">
        <v>2874.8624810000001</v>
      </c>
      <c r="G22" t="s">
        <v>6</v>
      </c>
      <c r="H22">
        <v>43594.396820000002</v>
      </c>
      <c r="I22">
        <f>F22+H22</f>
        <v>46469.259300999998</v>
      </c>
      <c r="J22">
        <f>SUM(I22:I29)</f>
        <v>363809.67977799999</v>
      </c>
      <c r="K22">
        <v>193000.42102099999</v>
      </c>
      <c r="L22">
        <f>J22/K22</f>
        <v>1.8850201354659977</v>
      </c>
      <c r="N22">
        <f>SUM(D22:D29)</f>
        <v>112008.00688799999</v>
      </c>
      <c r="O22">
        <v>5200</v>
      </c>
      <c r="P22">
        <f>N22/O22</f>
        <v>21.540001324615382</v>
      </c>
    </row>
    <row r="23" spans="1:16" x14ac:dyDescent="0.2">
      <c r="A23" t="s">
        <v>3</v>
      </c>
      <c r="B23">
        <v>22822.612531999999</v>
      </c>
      <c r="C23" t="s">
        <v>4</v>
      </c>
      <c r="D23">
        <v>14001.001068</v>
      </c>
      <c r="E23" t="s">
        <v>5</v>
      </c>
      <c r="F23">
        <v>2868.7363829999999</v>
      </c>
      <c r="G23" t="s">
        <v>6</v>
      </c>
      <c r="H23">
        <v>40672.989532</v>
      </c>
      <c r="I23">
        <f t="shared" ref="I23:I29" si="2">F23+H23</f>
        <v>43541.725915000003</v>
      </c>
    </row>
    <row r="24" spans="1:16" x14ac:dyDescent="0.2">
      <c r="A24" t="s">
        <v>3</v>
      </c>
      <c r="B24">
        <v>22839.985359999999</v>
      </c>
      <c r="C24" t="s">
        <v>4</v>
      </c>
      <c r="D24">
        <v>14001.000024000001</v>
      </c>
      <c r="E24" t="s">
        <v>5</v>
      </c>
      <c r="F24">
        <v>2864.7152550000001</v>
      </c>
      <c r="G24" t="s">
        <v>6</v>
      </c>
      <c r="H24">
        <v>42810.671112000004</v>
      </c>
      <c r="I24">
        <f t="shared" si="2"/>
        <v>45675.386367000006</v>
      </c>
    </row>
    <row r="25" spans="1:16" x14ac:dyDescent="0.2">
      <c r="A25" t="s">
        <v>3</v>
      </c>
      <c r="B25">
        <v>22825.919259999999</v>
      </c>
      <c r="C25" t="s">
        <v>4</v>
      </c>
      <c r="D25">
        <v>14001.001120000001</v>
      </c>
      <c r="E25" t="s">
        <v>5</v>
      </c>
      <c r="F25">
        <v>4768.1855159999996</v>
      </c>
      <c r="G25" t="s">
        <v>6</v>
      </c>
      <c r="H25">
        <v>39976.402344000002</v>
      </c>
      <c r="I25">
        <f t="shared" si="2"/>
        <v>44744.58786</v>
      </c>
    </row>
    <row r="26" spans="1:16" x14ac:dyDescent="0.2">
      <c r="A26" t="s">
        <v>3</v>
      </c>
      <c r="B26">
        <v>22861.610164000002</v>
      </c>
      <c r="C26" t="s">
        <v>4</v>
      </c>
      <c r="D26">
        <v>14001.000192</v>
      </c>
      <c r="E26" t="s">
        <v>5</v>
      </c>
      <c r="F26">
        <v>2880.9293299999999</v>
      </c>
      <c r="G26" t="s">
        <v>6</v>
      </c>
      <c r="H26">
        <v>48149.235228999998</v>
      </c>
      <c r="I26">
        <f t="shared" si="2"/>
        <v>51030.164558999997</v>
      </c>
    </row>
    <row r="27" spans="1:16" x14ac:dyDescent="0.2">
      <c r="A27" t="s">
        <v>3</v>
      </c>
      <c r="B27">
        <v>22835.225316</v>
      </c>
      <c r="C27" t="s">
        <v>4</v>
      </c>
      <c r="D27">
        <v>14001.001052</v>
      </c>
      <c r="E27" t="s">
        <v>5</v>
      </c>
      <c r="F27">
        <v>2880.46236</v>
      </c>
      <c r="G27" t="s">
        <v>6</v>
      </c>
      <c r="H27">
        <v>36699.721175999999</v>
      </c>
      <c r="I27">
        <f t="shared" si="2"/>
        <v>39580.183535999997</v>
      </c>
    </row>
    <row r="28" spans="1:16" x14ac:dyDescent="0.2">
      <c r="A28" t="s">
        <v>3</v>
      </c>
      <c r="B28">
        <v>22792.552324</v>
      </c>
      <c r="C28" t="s">
        <v>4</v>
      </c>
      <c r="D28">
        <v>14001.001628</v>
      </c>
      <c r="E28" t="s">
        <v>5</v>
      </c>
      <c r="F28">
        <v>2869.5528239999999</v>
      </c>
      <c r="G28" t="s">
        <v>6</v>
      </c>
      <c r="H28">
        <v>45600.688812</v>
      </c>
      <c r="I28">
        <f t="shared" si="2"/>
        <v>48470.241635999999</v>
      </c>
    </row>
    <row r="29" spans="1:16" x14ac:dyDescent="0.2">
      <c r="A29" t="s">
        <v>3</v>
      </c>
      <c r="B29">
        <v>22805.768167999999</v>
      </c>
      <c r="C29" t="s">
        <v>4</v>
      </c>
      <c r="D29">
        <v>14001.001156</v>
      </c>
      <c r="E29" t="s">
        <v>5</v>
      </c>
      <c r="F29">
        <v>2870.018818</v>
      </c>
      <c r="G29" t="s">
        <v>6</v>
      </c>
      <c r="H29">
        <v>41428.111786000001</v>
      </c>
      <c r="I29">
        <f t="shared" si="2"/>
        <v>44298.130603999998</v>
      </c>
    </row>
    <row r="30" spans="1:16" x14ac:dyDescent="0.2">
      <c r="A30" t="s">
        <v>9</v>
      </c>
    </row>
    <row r="31" spans="1:16" x14ac:dyDescent="0.2">
      <c r="A31" t="s">
        <v>3</v>
      </c>
      <c r="B31">
        <v>22862.046208</v>
      </c>
      <c r="C31" t="s">
        <v>4</v>
      </c>
      <c r="D31">
        <v>14001.001896</v>
      </c>
      <c r="E31" t="s">
        <v>5</v>
      </c>
      <c r="F31">
        <v>2881.8418940000001</v>
      </c>
      <c r="G31" t="s">
        <v>6</v>
      </c>
      <c r="H31">
        <v>7621.6266249999999</v>
      </c>
      <c r="I31">
        <f>F31+H31</f>
        <v>10503.468519</v>
      </c>
      <c r="J31">
        <f>SUM(I31:I38)</f>
        <v>86814.680487999984</v>
      </c>
      <c r="K31">
        <v>64027.016602000003</v>
      </c>
      <c r="L31">
        <f>J31/K31</f>
        <v>1.3559070076254056</v>
      </c>
      <c r="N31">
        <f>SUM(D31:D38)</f>
        <v>112008.00721999998</v>
      </c>
      <c r="O31">
        <v>1600</v>
      </c>
      <c r="P31">
        <f>N31/O31</f>
        <v>70.005004512499994</v>
      </c>
    </row>
    <row r="32" spans="1:16" x14ac:dyDescent="0.2">
      <c r="A32" t="s">
        <v>3</v>
      </c>
      <c r="B32">
        <v>22840.445243999999</v>
      </c>
      <c r="C32" t="s">
        <v>4</v>
      </c>
      <c r="D32">
        <v>14001.000284</v>
      </c>
      <c r="E32" t="s">
        <v>5</v>
      </c>
      <c r="F32">
        <v>2862.2879389999998</v>
      </c>
      <c r="G32" t="s">
        <v>6</v>
      </c>
      <c r="H32">
        <v>7420.998329</v>
      </c>
      <c r="I32">
        <f t="shared" ref="I32:I38" si="3">F32+H32</f>
        <v>10283.286268</v>
      </c>
    </row>
    <row r="33" spans="1:16" x14ac:dyDescent="0.2">
      <c r="A33" t="s">
        <v>3</v>
      </c>
      <c r="B33">
        <v>22841.900927999999</v>
      </c>
      <c r="C33" t="s">
        <v>4</v>
      </c>
      <c r="D33">
        <v>14001.001759999999</v>
      </c>
      <c r="E33" t="s">
        <v>5</v>
      </c>
      <c r="F33">
        <v>2885.7809419999999</v>
      </c>
      <c r="G33" t="s">
        <v>6</v>
      </c>
      <c r="H33">
        <v>7237.7546460000003</v>
      </c>
      <c r="I33">
        <f t="shared" si="3"/>
        <v>10123.535588000001</v>
      </c>
    </row>
    <row r="34" spans="1:16" x14ac:dyDescent="0.2">
      <c r="A34" t="s">
        <v>3</v>
      </c>
      <c r="B34">
        <v>22838.407048000001</v>
      </c>
      <c r="C34" t="s">
        <v>4</v>
      </c>
      <c r="D34">
        <v>14001.000292000001</v>
      </c>
      <c r="E34" t="s">
        <v>5</v>
      </c>
      <c r="F34">
        <v>3475.2523000000001</v>
      </c>
      <c r="G34" t="s">
        <v>6</v>
      </c>
      <c r="H34">
        <v>7565.4542240000001</v>
      </c>
      <c r="I34">
        <f t="shared" si="3"/>
        <v>11040.706524000001</v>
      </c>
    </row>
    <row r="35" spans="1:16" x14ac:dyDescent="0.2">
      <c r="A35" t="s">
        <v>3</v>
      </c>
      <c r="B35">
        <v>22848.558388000001</v>
      </c>
      <c r="C35" t="s">
        <v>4</v>
      </c>
      <c r="D35">
        <v>14001.00188</v>
      </c>
      <c r="E35" t="s">
        <v>5</v>
      </c>
      <c r="F35">
        <v>3130.1563959999999</v>
      </c>
      <c r="G35" t="s">
        <v>6</v>
      </c>
      <c r="H35">
        <v>8097.1210170000004</v>
      </c>
      <c r="I35">
        <f t="shared" si="3"/>
        <v>11227.277413</v>
      </c>
    </row>
    <row r="36" spans="1:16" x14ac:dyDescent="0.2">
      <c r="A36" t="s">
        <v>3</v>
      </c>
      <c r="B36">
        <v>22836.993871999999</v>
      </c>
      <c r="C36" t="s">
        <v>4</v>
      </c>
      <c r="D36">
        <v>14001.00016</v>
      </c>
      <c r="E36" t="s">
        <v>5</v>
      </c>
      <c r="F36">
        <v>2950.0195629999998</v>
      </c>
      <c r="G36" t="s">
        <v>6</v>
      </c>
      <c r="H36">
        <v>7194.876663</v>
      </c>
      <c r="I36">
        <f t="shared" si="3"/>
        <v>10144.896226000001</v>
      </c>
    </row>
    <row r="37" spans="1:16" x14ac:dyDescent="0.2">
      <c r="A37" t="s">
        <v>3</v>
      </c>
      <c r="B37">
        <v>22811.254895999999</v>
      </c>
      <c r="C37" t="s">
        <v>4</v>
      </c>
      <c r="D37">
        <v>14001.0002</v>
      </c>
      <c r="E37" t="s">
        <v>5</v>
      </c>
      <c r="F37">
        <v>2941.3162630000002</v>
      </c>
      <c r="G37" t="s">
        <v>6</v>
      </c>
      <c r="H37">
        <v>10349.670502000001</v>
      </c>
      <c r="I37">
        <f t="shared" si="3"/>
        <v>13290.986765000001</v>
      </c>
    </row>
    <row r="38" spans="1:16" x14ac:dyDescent="0.2">
      <c r="A38" t="s">
        <v>3</v>
      </c>
      <c r="B38">
        <v>22806.243224000002</v>
      </c>
      <c r="C38" t="s">
        <v>4</v>
      </c>
      <c r="D38">
        <v>14001.000748</v>
      </c>
      <c r="E38" t="s">
        <v>5</v>
      </c>
      <c r="F38">
        <v>2913.1273639999999</v>
      </c>
      <c r="G38" t="s">
        <v>6</v>
      </c>
      <c r="H38">
        <v>7287.3958210000001</v>
      </c>
      <c r="I38">
        <f t="shared" si="3"/>
        <v>10200.523185</v>
      </c>
    </row>
    <row r="39" spans="1:16" x14ac:dyDescent="0.2">
      <c r="A39" t="s">
        <v>10</v>
      </c>
    </row>
    <row r="40" spans="1:16" x14ac:dyDescent="0.2">
      <c r="A40" t="s">
        <v>3</v>
      </c>
      <c r="B40">
        <v>22882.410904</v>
      </c>
      <c r="C40" t="s">
        <v>4</v>
      </c>
      <c r="D40">
        <v>14001.000552</v>
      </c>
      <c r="E40" t="s">
        <v>5</v>
      </c>
      <c r="F40">
        <v>2917.3253759999998</v>
      </c>
      <c r="G40" t="s">
        <v>6</v>
      </c>
      <c r="H40">
        <v>11945.382721</v>
      </c>
      <c r="I40">
        <f>F40+H40</f>
        <v>14862.708096999999</v>
      </c>
      <c r="J40">
        <f>SUM(I40:I47)</f>
        <v>91122.913379999998</v>
      </c>
      <c r="K40">
        <v>49012.533568999999</v>
      </c>
      <c r="L40">
        <f>J40/K40</f>
        <v>1.8591757402566604</v>
      </c>
      <c r="N40">
        <f>SUM(D40:D47)</f>
        <v>112008.00655999999</v>
      </c>
      <c r="O40">
        <v>800</v>
      </c>
      <c r="P40">
        <f>N40/O40</f>
        <v>140.01000819999999</v>
      </c>
    </row>
    <row r="41" spans="1:16" x14ac:dyDescent="0.2">
      <c r="A41" t="s">
        <v>3</v>
      </c>
      <c r="B41">
        <v>22826.843140000001</v>
      </c>
      <c r="C41" t="s">
        <v>4</v>
      </c>
      <c r="D41">
        <v>14001.000335999999</v>
      </c>
      <c r="E41" t="s">
        <v>5</v>
      </c>
      <c r="F41">
        <v>2918.1288509999999</v>
      </c>
      <c r="G41" t="s">
        <v>6</v>
      </c>
      <c r="H41">
        <v>6512.5005490000003</v>
      </c>
      <c r="I41">
        <f t="shared" ref="I41:I47" si="4">F41+H41</f>
        <v>9430.6293999999998</v>
      </c>
    </row>
    <row r="42" spans="1:16" x14ac:dyDescent="0.2">
      <c r="A42" t="s">
        <v>3</v>
      </c>
      <c r="B42">
        <v>22850.834148000002</v>
      </c>
      <c r="C42" t="s">
        <v>4</v>
      </c>
      <c r="D42">
        <v>14001.001704</v>
      </c>
      <c r="E42" t="s">
        <v>5</v>
      </c>
      <c r="F42">
        <v>4575.6832420000001</v>
      </c>
      <c r="G42" t="s">
        <v>6</v>
      </c>
      <c r="H42">
        <v>8944.7463380000008</v>
      </c>
      <c r="I42">
        <f t="shared" si="4"/>
        <v>13520.42958</v>
      </c>
    </row>
    <row r="43" spans="1:16" x14ac:dyDescent="0.2">
      <c r="A43" t="s">
        <v>3</v>
      </c>
      <c r="B43">
        <v>22825.911651999999</v>
      </c>
      <c r="C43" t="s">
        <v>4</v>
      </c>
      <c r="D43">
        <v>14001.001292000001</v>
      </c>
      <c r="E43" t="s">
        <v>5</v>
      </c>
      <c r="F43">
        <v>2914.9375340000001</v>
      </c>
      <c r="G43" t="s">
        <v>6</v>
      </c>
      <c r="H43">
        <v>7037.1540530000002</v>
      </c>
      <c r="I43">
        <f t="shared" si="4"/>
        <v>9952.0915870000008</v>
      </c>
    </row>
    <row r="44" spans="1:16" x14ac:dyDescent="0.2">
      <c r="A44" t="s">
        <v>3</v>
      </c>
      <c r="B44">
        <v>22859.908952000002</v>
      </c>
      <c r="C44" t="s">
        <v>4</v>
      </c>
      <c r="D44">
        <v>14001.0003</v>
      </c>
      <c r="E44" t="s">
        <v>5</v>
      </c>
      <c r="F44">
        <v>2918.3316789999999</v>
      </c>
      <c r="G44" t="s">
        <v>6</v>
      </c>
      <c r="H44">
        <v>12493.567687999999</v>
      </c>
      <c r="I44">
        <f t="shared" si="4"/>
        <v>15411.899366999998</v>
      </c>
    </row>
    <row r="45" spans="1:16" x14ac:dyDescent="0.2">
      <c r="A45" t="s">
        <v>3</v>
      </c>
      <c r="B45">
        <v>22840.841735999998</v>
      </c>
      <c r="C45" t="s">
        <v>4</v>
      </c>
      <c r="D45">
        <v>14001.000540000001</v>
      </c>
      <c r="E45" t="s">
        <v>5</v>
      </c>
      <c r="F45">
        <v>2915.124632</v>
      </c>
      <c r="G45" t="s">
        <v>6</v>
      </c>
      <c r="H45">
        <v>5377.0236359999999</v>
      </c>
      <c r="I45">
        <f t="shared" si="4"/>
        <v>8292.1482680000008</v>
      </c>
    </row>
    <row r="46" spans="1:16" x14ac:dyDescent="0.2">
      <c r="A46" t="s">
        <v>3</v>
      </c>
      <c r="B46">
        <v>22787.013852</v>
      </c>
      <c r="C46" t="s">
        <v>4</v>
      </c>
      <c r="D46">
        <v>14001.001711999999</v>
      </c>
      <c r="E46" t="s">
        <v>5</v>
      </c>
      <c r="F46">
        <v>2938.3866699999999</v>
      </c>
      <c r="G46" t="s">
        <v>6</v>
      </c>
      <c r="H46">
        <v>8336.0391689999997</v>
      </c>
      <c r="I46">
        <f t="shared" si="4"/>
        <v>11274.425839</v>
      </c>
    </row>
    <row r="47" spans="1:16" x14ac:dyDescent="0.2">
      <c r="A47" t="s">
        <v>3</v>
      </c>
      <c r="B47">
        <v>22803.654699999999</v>
      </c>
      <c r="C47" t="s">
        <v>4</v>
      </c>
      <c r="D47">
        <v>14001.000124</v>
      </c>
      <c r="E47" t="s">
        <v>5</v>
      </c>
      <c r="F47">
        <v>2916.2898300000002</v>
      </c>
      <c r="G47" t="s">
        <v>6</v>
      </c>
      <c r="H47">
        <v>5462.2914119999996</v>
      </c>
      <c r="I47">
        <f t="shared" si="4"/>
        <v>8378.5812420000002</v>
      </c>
    </row>
    <row r="48" spans="1:16" x14ac:dyDescent="0.2">
      <c r="A48" t="s">
        <v>11</v>
      </c>
    </row>
    <row r="49" spans="1:16" x14ac:dyDescent="0.2">
      <c r="A49" t="s">
        <v>3</v>
      </c>
      <c r="B49">
        <v>22878.252976</v>
      </c>
      <c r="C49" t="s">
        <v>4</v>
      </c>
      <c r="D49">
        <v>14001.000904</v>
      </c>
      <c r="E49" t="s">
        <v>5</v>
      </c>
      <c r="F49">
        <v>2911.796742</v>
      </c>
      <c r="G49" t="s">
        <v>6</v>
      </c>
      <c r="H49">
        <v>3337.9982599999998</v>
      </c>
      <c r="I49">
        <f>F49+H49</f>
        <v>6249.7950019999998</v>
      </c>
      <c r="J49">
        <f>SUM(I49:I56)</f>
        <v>38674.818426999998</v>
      </c>
      <c r="K49">
        <v>7064.3611449999999</v>
      </c>
      <c r="L49">
        <f>J49/K49</f>
        <v>5.4746377815597933</v>
      </c>
      <c r="N49">
        <f>SUM(D49:D56)</f>
        <v>112008.00857199999</v>
      </c>
      <c r="O49">
        <v>3600</v>
      </c>
      <c r="P49">
        <f>N49/O49</f>
        <v>31.113335714444442</v>
      </c>
    </row>
    <row r="50" spans="1:16" x14ac:dyDescent="0.2">
      <c r="A50" t="s">
        <v>3</v>
      </c>
      <c r="B50">
        <v>22825.716435999999</v>
      </c>
      <c r="C50" t="s">
        <v>4</v>
      </c>
      <c r="D50">
        <v>14001.000516</v>
      </c>
      <c r="E50" t="s">
        <v>5</v>
      </c>
      <c r="F50">
        <v>2920.6068369999998</v>
      </c>
      <c r="G50" t="s">
        <v>6</v>
      </c>
      <c r="H50">
        <v>1485.661034</v>
      </c>
      <c r="I50">
        <f t="shared" ref="I50:I56" si="5">F50+H50</f>
        <v>4406.267871</v>
      </c>
    </row>
    <row r="51" spans="1:16" x14ac:dyDescent="0.2">
      <c r="A51" t="s">
        <v>3</v>
      </c>
      <c r="B51">
        <v>22840.291608</v>
      </c>
      <c r="C51" t="s">
        <v>4</v>
      </c>
      <c r="D51">
        <v>14001.004004</v>
      </c>
      <c r="E51" t="s">
        <v>5</v>
      </c>
      <c r="F51">
        <v>2920.950288</v>
      </c>
      <c r="G51" t="s">
        <v>6</v>
      </c>
      <c r="H51">
        <v>2666.5826259999999</v>
      </c>
      <c r="I51">
        <f t="shared" si="5"/>
        <v>5587.5329139999994</v>
      </c>
    </row>
    <row r="52" spans="1:16" x14ac:dyDescent="0.2">
      <c r="A52" t="s">
        <v>3</v>
      </c>
      <c r="B52">
        <v>22845.95264</v>
      </c>
      <c r="C52" t="s">
        <v>4</v>
      </c>
      <c r="D52">
        <v>14001.001012000001</v>
      </c>
      <c r="E52" t="s">
        <v>5</v>
      </c>
      <c r="F52">
        <v>2914.690024</v>
      </c>
      <c r="G52" t="s">
        <v>6</v>
      </c>
      <c r="H52">
        <v>1379.2565420000001</v>
      </c>
      <c r="I52">
        <f t="shared" si="5"/>
        <v>4293.9465660000005</v>
      </c>
    </row>
    <row r="53" spans="1:16" x14ac:dyDescent="0.2">
      <c r="A53" t="s">
        <v>3</v>
      </c>
      <c r="B53">
        <v>22874.541571999998</v>
      </c>
      <c r="C53" t="s">
        <v>4</v>
      </c>
      <c r="D53">
        <v>14001.00078</v>
      </c>
      <c r="E53" t="s">
        <v>5</v>
      </c>
      <c r="F53">
        <v>2926.4442140000001</v>
      </c>
      <c r="G53" t="s">
        <v>6</v>
      </c>
      <c r="H53">
        <v>3512.8635250000002</v>
      </c>
      <c r="I53">
        <f t="shared" si="5"/>
        <v>6439.3077389999999</v>
      </c>
    </row>
    <row r="54" spans="1:16" x14ac:dyDescent="0.2">
      <c r="A54" t="s">
        <v>3</v>
      </c>
      <c r="B54">
        <v>22859.147324000001</v>
      </c>
      <c r="C54" t="s">
        <v>4</v>
      </c>
      <c r="D54">
        <v>14001.000427999999</v>
      </c>
      <c r="E54" t="s">
        <v>5</v>
      </c>
      <c r="F54">
        <v>2917.0164949999998</v>
      </c>
      <c r="G54" t="s">
        <v>6</v>
      </c>
      <c r="H54">
        <v>840.81465900000001</v>
      </c>
      <c r="I54">
        <f t="shared" si="5"/>
        <v>3757.831154</v>
      </c>
    </row>
    <row r="55" spans="1:16" x14ac:dyDescent="0.2">
      <c r="A55" t="s">
        <v>3</v>
      </c>
      <c r="B55">
        <v>22787.186428000001</v>
      </c>
      <c r="C55" t="s">
        <v>4</v>
      </c>
      <c r="D55">
        <v>14001.000152000001</v>
      </c>
      <c r="E55" t="s">
        <v>5</v>
      </c>
      <c r="F55">
        <v>2903.929263</v>
      </c>
      <c r="G55" t="s">
        <v>6</v>
      </c>
      <c r="H55">
        <v>1257.498405</v>
      </c>
      <c r="I55">
        <f t="shared" si="5"/>
        <v>4161.4276680000003</v>
      </c>
    </row>
    <row r="56" spans="1:16" x14ac:dyDescent="0.2">
      <c r="A56" t="s">
        <v>3</v>
      </c>
      <c r="B56">
        <v>22786.922515999999</v>
      </c>
      <c r="C56" t="s">
        <v>4</v>
      </c>
      <c r="D56">
        <v>14001.000776000001</v>
      </c>
      <c r="E56" t="s">
        <v>5</v>
      </c>
      <c r="F56">
        <v>2897.2417009999999</v>
      </c>
      <c r="G56" t="s">
        <v>6</v>
      </c>
      <c r="H56">
        <v>881.46781199999998</v>
      </c>
      <c r="I56">
        <f t="shared" si="5"/>
        <v>3778.7095129999998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6D6F-7F9D-E34D-AF47-F270790EA250}">
  <dimension ref="A1:P56"/>
  <sheetViews>
    <sheetView topLeftCell="E13" workbookViewId="0">
      <selection activeCell="O50" sqref="O50"/>
    </sheetView>
  </sheetViews>
  <sheetFormatPr baseColWidth="10" defaultRowHeight="16" x14ac:dyDescent="0.2"/>
  <cols>
    <col min="1" max="1" width="22.5" customWidth="1"/>
    <col min="2" max="2" width="24" customWidth="1"/>
    <col min="3" max="3" width="23.1640625" customWidth="1"/>
    <col min="4" max="4" width="27.5" customWidth="1"/>
    <col min="5" max="5" width="24.33203125" customWidth="1"/>
    <col min="6" max="6" width="22.33203125" customWidth="1"/>
    <col min="8" max="8" width="23.6640625" customWidth="1"/>
  </cols>
  <sheetData>
    <row r="1" spans="1:16" x14ac:dyDescent="0.2">
      <c r="A1" t="s">
        <v>27</v>
      </c>
    </row>
    <row r="2" spans="1:16" x14ac:dyDescent="0.2">
      <c r="A2" t="s">
        <v>1</v>
      </c>
      <c r="B2">
        <v>23.325551999999998</v>
      </c>
    </row>
    <row r="3" spans="1:16" x14ac:dyDescent="0.2">
      <c r="A3" t="s">
        <v>2</v>
      </c>
    </row>
    <row r="4" spans="1:16" x14ac:dyDescent="0.2">
      <c r="A4" t="s">
        <v>3</v>
      </c>
      <c r="B4">
        <v>64574.184679999998</v>
      </c>
      <c r="C4" t="s">
        <v>4</v>
      </c>
      <c r="D4">
        <v>14001.000236</v>
      </c>
      <c r="E4" t="s">
        <v>5</v>
      </c>
      <c r="F4">
        <v>2306.1227650000001</v>
      </c>
      <c r="G4" t="s">
        <v>6</v>
      </c>
      <c r="H4">
        <v>13546.670654</v>
      </c>
      <c r="I4">
        <f>F4+H4</f>
        <v>15852.793419</v>
      </c>
      <c r="J4">
        <f>SUM(I4:I11)</f>
        <v>124694.07914399999</v>
      </c>
      <c r="K4">
        <v>62184.668457</v>
      </c>
      <c r="L4">
        <f>J4/K4</f>
        <v>2.0052222233881416</v>
      </c>
      <c r="N4">
        <f>SUM(D4:D11)</f>
        <v>112008.00543599999</v>
      </c>
      <c r="O4">
        <v>6400</v>
      </c>
      <c r="P4">
        <f>N4/O4</f>
        <v>17.501250849374998</v>
      </c>
    </row>
    <row r="5" spans="1:16" x14ac:dyDescent="0.2">
      <c r="A5" t="s">
        <v>3</v>
      </c>
      <c r="B5">
        <v>64989.352400000003</v>
      </c>
      <c r="C5" t="s">
        <v>4</v>
      </c>
      <c r="D5">
        <v>14001.000576</v>
      </c>
      <c r="E5" t="s">
        <v>5</v>
      </c>
      <c r="F5">
        <v>2914.5541309999999</v>
      </c>
      <c r="G5" t="s">
        <v>6</v>
      </c>
      <c r="H5">
        <v>12963.655029</v>
      </c>
      <c r="I5">
        <f t="shared" ref="I5:I11" si="0">F5+H5</f>
        <v>15878.209159999999</v>
      </c>
    </row>
    <row r="6" spans="1:16" x14ac:dyDescent="0.2">
      <c r="A6" t="s">
        <v>3</v>
      </c>
      <c r="B6">
        <v>63772.336344000003</v>
      </c>
      <c r="C6" t="s">
        <v>4</v>
      </c>
      <c r="D6">
        <v>14001.000120000001</v>
      </c>
      <c r="E6" t="s">
        <v>5</v>
      </c>
      <c r="F6">
        <v>2981.633476</v>
      </c>
      <c r="G6" t="s">
        <v>6</v>
      </c>
      <c r="H6">
        <v>11880.248046999999</v>
      </c>
      <c r="I6">
        <f t="shared" si="0"/>
        <v>14861.881523</v>
      </c>
    </row>
    <row r="7" spans="1:16" x14ac:dyDescent="0.2">
      <c r="A7" t="s">
        <v>3</v>
      </c>
      <c r="B7">
        <v>65166.832624000002</v>
      </c>
      <c r="C7" t="s">
        <v>4</v>
      </c>
      <c r="D7">
        <v>14001.000552</v>
      </c>
      <c r="E7" t="s">
        <v>5</v>
      </c>
      <c r="F7">
        <v>3120.877579</v>
      </c>
      <c r="G7" t="s">
        <v>6</v>
      </c>
      <c r="H7">
        <v>13539.909180000001</v>
      </c>
      <c r="I7">
        <f t="shared" si="0"/>
        <v>16660.786759000002</v>
      </c>
    </row>
    <row r="8" spans="1:16" x14ac:dyDescent="0.2">
      <c r="A8" t="s">
        <v>3</v>
      </c>
      <c r="B8">
        <v>64463.331195999999</v>
      </c>
      <c r="C8" t="s">
        <v>4</v>
      </c>
      <c r="D8">
        <v>14001.000784</v>
      </c>
      <c r="E8" t="s">
        <v>5</v>
      </c>
      <c r="F8">
        <v>3060.22129</v>
      </c>
      <c r="G8" t="s">
        <v>6</v>
      </c>
      <c r="H8">
        <v>12287.141357</v>
      </c>
      <c r="I8">
        <f t="shared" si="0"/>
        <v>15347.362647</v>
      </c>
    </row>
    <row r="9" spans="1:16" x14ac:dyDescent="0.2">
      <c r="A9" t="s">
        <v>3</v>
      </c>
      <c r="B9">
        <v>64653.409760000002</v>
      </c>
      <c r="C9" t="s">
        <v>4</v>
      </c>
      <c r="D9">
        <v>14001.000179999999</v>
      </c>
      <c r="E9" t="s">
        <v>5</v>
      </c>
      <c r="F9">
        <v>3014.4585740000002</v>
      </c>
      <c r="G9" t="s">
        <v>6</v>
      </c>
      <c r="H9">
        <v>12854.474854</v>
      </c>
      <c r="I9">
        <f t="shared" si="0"/>
        <v>15868.933428</v>
      </c>
    </row>
    <row r="10" spans="1:16" x14ac:dyDescent="0.2">
      <c r="A10" t="s">
        <v>3</v>
      </c>
      <c r="B10">
        <v>64809.537748000002</v>
      </c>
      <c r="C10" t="s">
        <v>4</v>
      </c>
      <c r="D10">
        <v>14001.002227999999</v>
      </c>
      <c r="E10" t="s">
        <v>5</v>
      </c>
      <c r="F10">
        <v>1584.677766</v>
      </c>
      <c r="G10" t="s">
        <v>6</v>
      </c>
      <c r="H10">
        <v>12578.162842</v>
      </c>
      <c r="I10">
        <f t="shared" si="0"/>
        <v>14162.840608</v>
      </c>
    </row>
    <row r="11" spans="1:16" x14ac:dyDescent="0.2">
      <c r="A11" t="s">
        <v>3</v>
      </c>
      <c r="B11">
        <v>65102.715492000003</v>
      </c>
      <c r="C11" t="s">
        <v>4</v>
      </c>
      <c r="D11">
        <v>14001.000760000001</v>
      </c>
      <c r="E11" t="s">
        <v>5</v>
      </c>
      <c r="F11">
        <v>2956.8411799999999</v>
      </c>
      <c r="G11" t="s">
        <v>6</v>
      </c>
      <c r="H11">
        <v>13104.430420000001</v>
      </c>
      <c r="I11">
        <f t="shared" si="0"/>
        <v>16061.2716</v>
      </c>
    </row>
    <row r="12" spans="1:16" x14ac:dyDescent="0.2">
      <c r="A12" t="s">
        <v>7</v>
      </c>
    </row>
    <row r="13" spans="1:16" x14ac:dyDescent="0.2">
      <c r="A13" t="s">
        <v>3</v>
      </c>
      <c r="B13">
        <v>64567.842003999998</v>
      </c>
      <c r="C13" t="s">
        <v>4</v>
      </c>
      <c r="D13">
        <v>14001.000284</v>
      </c>
      <c r="E13" t="s">
        <v>5</v>
      </c>
      <c r="F13">
        <v>1828.6836920000001</v>
      </c>
      <c r="G13" t="s">
        <v>6</v>
      </c>
      <c r="H13">
        <v>574.99404300000003</v>
      </c>
      <c r="I13">
        <f>F13+H13</f>
        <v>2403.6777350000002</v>
      </c>
      <c r="J13">
        <f>SUM(I13:I20)</f>
        <v>23451.510507000003</v>
      </c>
      <c r="K13">
        <v>2646.6753220000001</v>
      </c>
      <c r="L13">
        <f>J13/K13</f>
        <v>8.86074325477842</v>
      </c>
      <c r="N13">
        <f>SUM(D13:D20)</f>
        <v>112008.013656</v>
      </c>
      <c r="O13">
        <v>1000</v>
      </c>
      <c r="P13">
        <f>N13/O13</f>
        <v>112.00801365599999</v>
      </c>
    </row>
    <row r="14" spans="1:16" x14ac:dyDescent="0.2">
      <c r="A14" t="s">
        <v>3</v>
      </c>
      <c r="B14">
        <v>64881.697408</v>
      </c>
      <c r="C14" t="s">
        <v>4</v>
      </c>
      <c r="D14">
        <v>14001.000564</v>
      </c>
      <c r="E14" t="s">
        <v>5</v>
      </c>
      <c r="F14">
        <v>3541.301485</v>
      </c>
      <c r="G14" t="s">
        <v>6</v>
      </c>
      <c r="H14">
        <v>603.71025799999995</v>
      </c>
      <c r="I14">
        <f t="shared" ref="I14:I20" si="1">F14+H14</f>
        <v>4145.011743</v>
      </c>
    </row>
    <row r="15" spans="1:16" x14ac:dyDescent="0.2">
      <c r="A15" t="s">
        <v>3</v>
      </c>
      <c r="B15">
        <v>63789.765324</v>
      </c>
      <c r="C15" t="s">
        <v>4</v>
      </c>
      <c r="D15">
        <v>14001.002332</v>
      </c>
      <c r="E15" t="s">
        <v>5</v>
      </c>
      <c r="F15">
        <v>2254.7605250000001</v>
      </c>
      <c r="G15" t="s">
        <v>6</v>
      </c>
      <c r="H15">
        <v>534.53416800000002</v>
      </c>
      <c r="I15">
        <f t="shared" si="1"/>
        <v>2789.2946930000003</v>
      </c>
    </row>
    <row r="16" spans="1:16" x14ac:dyDescent="0.2">
      <c r="A16" t="s">
        <v>3</v>
      </c>
      <c r="B16">
        <v>65259.079003999999</v>
      </c>
      <c r="C16" t="s">
        <v>4</v>
      </c>
      <c r="D16">
        <v>14001.006783999999</v>
      </c>
      <c r="E16" t="s">
        <v>5</v>
      </c>
      <c r="F16">
        <v>2266.1327259999998</v>
      </c>
      <c r="G16" t="s">
        <v>6</v>
      </c>
      <c r="H16">
        <v>588.56376899999998</v>
      </c>
      <c r="I16">
        <f t="shared" si="1"/>
        <v>2854.6964949999997</v>
      </c>
    </row>
    <row r="17" spans="1:16" x14ac:dyDescent="0.2">
      <c r="A17" t="s">
        <v>3</v>
      </c>
      <c r="B17">
        <v>64479.674604</v>
      </c>
      <c r="C17" t="s">
        <v>4</v>
      </c>
      <c r="D17">
        <v>14001.000236</v>
      </c>
      <c r="E17" t="s">
        <v>5</v>
      </c>
      <c r="F17">
        <v>2228.9917519999999</v>
      </c>
      <c r="G17" t="s">
        <v>6</v>
      </c>
      <c r="H17">
        <v>565.51928599999997</v>
      </c>
      <c r="I17">
        <f t="shared" si="1"/>
        <v>2794.5110379999996</v>
      </c>
    </row>
    <row r="18" spans="1:16" x14ac:dyDescent="0.2">
      <c r="A18" t="s">
        <v>3</v>
      </c>
      <c r="B18">
        <v>64584.533828</v>
      </c>
      <c r="C18" t="s">
        <v>4</v>
      </c>
      <c r="D18">
        <v>14001.00044</v>
      </c>
      <c r="E18" t="s">
        <v>5</v>
      </c>
      <c r="F18">
        <v>2240.852707</v>
      </c>
      <c r="G18" t="s">
        <v>6</v>
      </c>
      <c r="H18">
        <v>592.43062999999995</v>
      </c>
      <c r="I18">
        <f t="shared" si="1"/>
        <v>2833.2833369999998</v>
      </c>
    </row>
    <row r="19" spans="1:16" x14ac:dyDescent="0.2">
      <c r="A19" t="s">
        <v>3</v>
      </c>
      <c r="B19">
        <v>64936.946512000002</v>
      </c>
      <c r="C19" t="s">
        <v>4</v>
      </c>
      <c r="D19">
        <v>14001.0028</v>
      </c>
      <c r="E19" t="s">
        <v>5</v>
      </c>
      <c r="F19">
        <v>2241.2615430000001</v>
      </c>
      <c r="G19" t="s">
        <v>6</v>
      </c>
      <c r="H19">
        <v>578.61891700000001</v>
      </c>
      <c r="I19">
        <f t="shared" si="1"/>
        <v>2819.8804600000003</v>
      </c>
    </row>
    <row r="20" spans="1:16" x14ac:dyDescent="0.2">
      <c r="A20" t="s">
        <v>3</v>
      </c>
      <c r="B20">
        <v>65093.316211999998</v>
      </c>
      <c r="C20" t="s">
        <v>4</v>
      </c>
      <c r="D20">
        <v>14001.000216</v>
      </c>
      <c r="E20" t="s">
        <v>5</v>
      </c>
      <c r="F20">
        <v>2233.7525559999999</v>
      </c>
      <c r="G20" t="s">
        <v>6</v>
      </c>
      <c r="H20">
        <v>577.40245000000004</v>
      </c>
      <c r="I20">
        <f t="shared" si="1"/>
        <v>2811.155006</v>
      </c>
    </row>
    <row r="21" spans="1:16" x14ac:dyDescent="0.2">
      <c r="A21" t="s">
        <v>8</v>
      </c>
    </row>
    <row r="22" spans="1:16" x14ac:dyDescent="0.2">
      <c r="A22" t="s">
        <v>3</v>
      </c>
      <c r="B22">
        <v>64572.557247999997</v>
      </c>
      <c r="C22" t="s">
        <v>4</v>
      </c>
      <c r="D22">
        <v>14001.000755999999</v>
      </c>
      <c r="E22" t="s">
        <v>5</v>
      </c>
      <c r="F22">
        <v>2237.2425600000001</v>
      </c>
      <c r="G22" t="s">
        <v>6</v>
      </c>
      <c r="H22">
        <v>96683.841339000006</v>
      </c>
      <c r="I22">
        <f>F22+H22</f>
        <v>98921.083899000005</v>
      </c>
      <c r="J22">
        <f>SUM(I22:I29)</f>
        <v>806794.48609899997</v>
      </c>
      <c r="K22">
        <v>250354.78247100001</v>
      </c>
      <c r="L22">
        <f>J22/K22</f>
        <v>3.2226046498331042</v>
      </c>
      <c r="N22">
        <f>SUM(D22:D29)</f>
        <v>112008.00922399999</v>
      </c>
      <c r="O22">
        <v>5200</v>
      </c>
      <c r="P22">
        <f>N22/O22</f>
        <v>21.540001773846154</v>
      </c>
    </row>
    <row r="23" spans="1:16" x14ac:dyDescent="0.2">
      <c r="A23" t="s">
        <v>3</v>
      </c>
      <c r="B23">
        <v>64929.001243999999</v>
      </c>
      <c r="C23" t="s">
        <v>4</v>
      </c>
      <c r="D23">
        <v>14001.000988</v>
      </c>
      <c r="E23" t="s">
        <v>5</v>
      </c>
      <c r="F23">
        <v>2221.9616590000001</v>
      </c>
      <c r="G23" t="s">
        <v>6</v>
      </c>
      <c r="H23">
        <v>98702.547057999996</v>
      </c>
      <c r="I23">
        <f t="shared" ref="I23:I29" si="2">F23+H23</f>
        <v>100924.50871699999</v>
      </c>
    </row>
    <row r="24" spans="1:16" x14ac:dyDescent="0.2">
      <c r="A24" t="s">
        <v>3</v>
      </c>
      <c r="B24">
        <v>63874.179224</v>
      </c>
      <c r="C24" t="s">
        <v>4</v>
      </c>
      <c r="D24">
        <v>14001.000572000001</v>
      </c>
      <c r="E24" t="s">
        <v>5</v>
      </c>
      <c r="F24">
        <v>4666.6875600000003</v>
      </c>
      <c r="G24" t="s">
        <v>6</v>
      </c>
      <c r="H24">
        <v>91820.548035</v>
      </c>
      <c r="I24">
        <f t="shared" si="2"/>
        <v>96487.235595000006</v>
      </c>
    </row>
    <row r="25" spans="1:16" x14ac:dyDescent="0.2">
      <c r="A25" t="s">
        <v>3</v>
      </c>
      <c r="B25">
        <v>65218.831372000001</v>
      </c>
      <c r="C25" t="s">
        <v>4</v>
      </c>
      <c r="D25">
        <v>14001.000252</v>
      </c>
      <c r="E25" t="s">
        <v>5</v>
      </c>
      <c r="F25">
        <v>2221.3713269999998</v>
      </c>
      <c r="G25" t="s">
        <v>6</v>
      </c>
      <c r="H25">
        <v>104160.14389000001</v>
      </c>
      <c r="I25">
        <f t="shared" si="2"/>
        <v>106381.51521700001</v>
      </c>
    </row>
    <row r="26" spans="1:16" x14ac:dyDescent="0.2">
      <c r="A26" t="s">
        <v>3</v>
      </c>
      <c r="B26">
        <v>64420.409959999997</v>
      </c>
      <c r="C26" t="s">
        <v>4</v>
      </c>
      <c r="D26">
        <v>14001.000400000001</v>
      </c>
      <c r="E26" t="s">
        <v>5</v>
      </c>
      <c r="F26">
        <v>2174.7758600000002</v>
      </c>
      <c r="G26" t="s">
        <v>6</v>
      </c>
      <c r="H26">
        <v>88365.998215</v>
      </c>
      <c r="I26">
        <f t="shared" si="2"/>
        <v>90540.774074999994</v>
      </c>
    </row>
    <row r="27" spans="1:16" x14ac:dyDescent="0.2">
      <c r="A27" t="s">
        <v>3</v>
      </c>
      <c r="B27">
        <v>64769.489035999999</v>
      </c>
      <c r="C27" t="s">
        <v>4</v>
      </c>
      <c r="D27">
        <v>14001.003176</v>
      </c>
      <c r="E27" t="s">
        <v>5</v>
      </c>
      <c r="F27">
        <v>4555.7535589999998</v>
      </c>
      <c r="G27" t="s">
        <v>6</v>
      </c>
      <c r="H27">
        <v>93971.271729</v>
      </c>
      <c r="I27">
        <f t="shared" si="2"/>
        <v>98527.025288000004</v>
      </c>
    </row>
    <row r="28" spans="1:16" x14ac:dyDescent="0.2">
      <c r="A28" t="s">
        <v>3</v>
      </c>
      <c r="B28">
        <v>64754.007144000003</v>
      </c>
      <c r="C28" t="s">
        <v>4</v>
      </c>
      <c r="D28">
        <v>14001.000676</v>
      </c>
      <c r="E28" t="s">
        <v>5</v>
      </c>
      <c r="F28">
        <v>4666.3085769999998</v>
      </c>
      <c r="G28" t="s">
        <v>6</v>
      </c>
      <c r="H28">
        <v>104270.168152</v>
      </c>
      <c r="I28">
        <f t="shared" si="2"/>
        <v>108936.476729</v>
      </c>
    </row>
    <row r="29" spans="1:16" x14ac:dyDescent="0.2">
      <c r="A29" t="s">
        <v>3</v>
      </c>
      <c r="B29">
        <v>65110.525007999997</v>
      </c>
      <c r="C29" t="s">
        <v>4</v>
      </c>
      <c r="D29">
        <v>14001.002404000001</v>
      </c>
      <c r="E29" t="s">
        <v>5</v>
      </c>
      <c r="F29">
        <v>2241.6353469999999</v>
      </c>
      <c r="G29" t="s">
        <v>6</v>
      </c>
      <c r="H29">
        <v>103834.23123200001</v>
      </c>
      <c r="I29">
        <f t="shared" si="2"/>
        <v>106075.86657900001</v>
      </c>
    </row>
    <row r="30" spans="1:16" x14ac:dyDescent="0.2">
      <c r="A30" t="s">
        <v>9</v>
      </c>
    </row>
    <row r="31" spans="1:16" x14ac:dyDescent="0.2">
      <c r="A31" t="s">
        <v>3</v>
      </c>
      <c r="B31">
        <v>64402.604184000003</v>
      </c>
      <c r="C31" t="s">
        <v>4</v>
      </c>
      <c r="D31">
        <v>14001.003259999999</v>
      </c>
      <c r="E31" t="s">
        <v>5</v>
      </c>
      <c r="F31">
        <v>2223.039456</v>
      </c>
      <c r="G31" t="s">
        <v>6</v>
      </c>
      <c r="H31">
        <v>16584.273087000001</v>
      </c>
      <c r="I31">
        <f>F31+H31</f>
        <v>18807.312543</v>
      </c>
      <c r="J31">
        <f>SUM(I31:I38)</f>
        <v>154189.67595</v>
      </c>
      <c r="K31">
        <v>85824.321289</v>
      </c>
      <c r="L31">
        <f>J31/K31</f>
        <v>1.7965732048237277</v>
      </c>
      <c r="N31">
        <f>SUM(D31:D38)</f>
        <v>112008.010484</v>
      </c>
      <c r="O31">
        <v>1600</v>
      </c>
      <c r="P31">
        <f>N31/O31</f>
        <v>70.005006552499992</v>
      </c>
    </row>
    <row r="32" spans="1:16" x14ac:dyDescent="0.2">
      <c r="A32" t="s">
        <v>3</v>
      </c>
      <c r="B32">
        <v>65053.30816</v>
      </c>
      <c r="C32" t="s">
        <v>4</v>
      </c>
      <c r="D32">
        <v>14001.0002</v>
      </c>
      <c r="E32" t="s">
        <v>5</v>
      </c>
      <c r="F32">
        <v>2185.932879</v>
      </c>
      <c r="G32" t="s">
        <v>6</v>
      </c>
      <c r="H32">
        <v>17511.480972000001</v>
      </c>
      <c r="I32">
        <f t="shared" ref="I32:I38" si="3">F32+H32</f>
        <v>19697.413851000001</v>
      </c>
    </row>
    <row r="33" spans="1:16" x14ac:dyDescent="0.2">
      <c r="A33" t="s">
        <v>3</v>
      </c>
      <c r="B33">
        <v>63761.348319999997</v>
      </c>
      <c r="C33" t="s">
        <v>4</v>
      </c>
      <c r="D33">
        <v>14001.004639999999</v>
      </c>
      <c r="E33" t="s">
        <v>5</v>
      </c>
      <c r="F33">
        <v>6088.3854659999997</v>
      </c>
      <c r="G33" t="s">
        <v>6</v>
      </c>
      <c r="H33">
        <v>15618.707306</v>
      </c>
      <c r="I33">
        <f t="shared" si="3"/>
        <v>21707.092772</v>
      </c>
    </row>
    <row r="34" spans="1:16" x14ac:dyDescent="0.2">
      <c r="A34" t="s">
        <v>3</v>
      </c>
      <c r="B34">
        <v>65214.222252</v>
      </c>
      <c r="C34" t="s">
        <v>4</v>
      </c>
      <c r="D34">
        <v>14001.000904</v>
      </c>
      <c r="E34" t="s">
        <v>5</v>
      </c>
      <c r="F34">
        <v>2243.4534050000002</v>
      </c>
      <c r="G34" t="s">
        <v>6</v>
      </c>
      <c r="H34">
        <v>16199.397263000001</v>
      </c>
      <c r="I34">
        <f t="shared" si="3"/>
        <v>18442.850667999999</v>
      </c>
    </row>
    <row r="35" spans="1:16" x14ac:dyDescent="0.2">
      <c r="A35" t="s">
        <v>3</v>
      </c>
      <c r="B35">
        <v>64317.642231999998</v>
      </c>
      <c r="C35" t="s">
        <v>4</v>
      </c>
      <c r="D35">
        <v>14001.000204</v>
      </c>
      <c r="E35" t="s">
        <v>5</v>
      </c>
      <c r="F35">
        <v>2239.4320659999998</v>
      </c>
      <c r="G35" t="s">
        <v>6</v>
      </c>
      <c r="H35">
        <v>16591.313033999999</v>
      </c>
      <c r="I35">
        <f t="shared" si="3"/>
        <v>18830.7451</v>
      </c>
    </row>
    <row r="36" spans="1:16" x14ac:dyDescent="0.2">
      <c r="A36" t="s">
        <v>3</v>
      </c>
      <c r="B36">
        <v>64722.360888000003</v>
      </c>
      <c r="C36" t="s">
        <v>4</v>
      </c>
      <c r="D36">
        <v>14001.000356</v>
      </c>
      <c r="E36" t="s">
        <v>5</v>
      </c>
      <c r="F36">
        <v>2296.2375969999998</v>
      </c>
      <c r="G36" t="s">
        <v>6</v>
      </c>
      <c r="H36">
        <v>16548.276259999999</v>
      </c>
      <c r="I36">
        <f t="shared" si="3"/>
        <v>18844.513856999998</v>
      </c>
    </row>
    <row r="37" spans="1:16" x14ac:dyDescent="0.2">
      <c r="A37" t="s">
        <v>3</v>
      </c>
      <c r="B37">
        <v>64935.904320000001</v>
      </c>
      <c r="C37" t="s">
        <v>4</v>
      </c>
      <c r="D37">
        <v>14001.000764</v>
      </c>
      <c r="E37" t="s">
        <v>5</v>
      </c>
      <c r="F37">
        <v>2226.2545620000001</v>
      </c>
      <c r="G37" t="s">
        <v>6</v>
      </c>
      <c r="H37">
        <v>16590.820632999999</v>
      </c>
      <c r="I37">
        <f t="shared" si="3"/>
        <v>18817.075194999998</v>
      </c>
    </row>
    <row r="38" spans="1:16" x14ac:dyDescent="0.2">
      <c r="A38" t="s">
        <v>3</v>
      </c>
      <c r="B38">
        <v>65198.556020000004</v>
      </c>
      <c r="C38" t="s">
        <v>4</v>
      </c>
      <c r="D38">
        <v>14001.000156</v>
      </c>
      <c r="E38" t="s">
        <v>5</v>
      </c>
      <c r="F38">
        <v>2238.8834360000001</v>
      </c>
      <c r="G38" t="s">
        <v>6</v>
      </c>
      <c r="H38">
        <v>16803.788528000001</v>
      </c>
      <c r="I38">
        <f t="shared" si="3"/>
        <v>19042.671964000001</v>
      </c>
    </row>
    <row r="39" spans="1:16" x14ac:dyDescent="0.2">
      <c r="A39" t="s">
        <v>10</v>
      </c>
    </row>
    <row r="40" spans="1:16" x14ac:dyDescent="0.2">
      <c r="A40" t="s">
        <v>3</v>
      </c>
      <c r="B40">
        <v>64536.101863999997</v>
      </c>
      <c r="C40" t="s">
        <v>4</v>
      </c>
      <c r="D40">
        <v>14001.001644</v>
      </c>
      <c r="E40" t="s">
        <v>5</v>
      </c>
      <c r="F40">
        <v>2232.502845</v>
      </c>
      <c r="G40" t="s">
        <v>6</v>
      </c>
      <c r="H40">
        <v>14576.094757000001</v>
      </c>
      <c r="I40">
        <f>F40+H40</f>
        <v>16808.597602000002</v>
      </c>
      <c r="J40">
        <f>SUM(I40:I47)</f>
        <v>147437.65648599999</v>
      </c>
      <c r="K40">
        <v>62401.384521</v>
      </c>
      <c r="L40">
        <f>J40/K40</f>
        <v>2.3627305326275678</v>
      </c>
      <c r="N40">
        <f>SUM(D40:D47)</f>
        <v>112008.012384</v>
      </c>
      <c r="O40">
        <v>800</v>
      </c>
      <c r="P40">
        <f>N40/O40</f>
        <v>140.01001547999999</v>
      </c>
    </row>
    <row r="41" spans="1:16" x14ac:dyDescent="0.2">
      <c r="A41" t="s">
        <v>3</v>
      </c>
      <c r="B41">
        <v>64972.968895999998</v>
      </c>
      <c r="C41" t="s">
        <v>4</v>
      </c>
      <c r="D41">
        <v>14001.00036</v>
      </c>
      <c r="E41" t="s">
        <v>5</v>
      </c>
      <c r="F41">
        <v>5479.4513859999997</v>
      </c>
      <c r="G41" t="s">
        <v>6</v>
      </c>
      <c r="H41">
        <v>17832.723754999999</v>
      </c>
      <c r="I41">
        <f t="shared" ref="I41:I47" si="4">F41+H41</f>
        <v>23312.175141</v>
      </c>
    </row>
    <row r="42" spans="1:16" x14ac:dyDescent="0.2">
      <c r="A42" t="s">
        <v>3</v>
      </c>
      <c r="B42">
        <v>63824.691983999997</v>
      </c>
      <c r="C42" t="s">
        <v>4</v>
      </c>
      <c r="D42">
        <v>14001.000816</v>
      </c>
      <c r="E42" t="s">
        <v>5</v>
      </c>
      <c r="F42">
        <v>2285.1651200000001</v>
      </c>
      <c r="G42" t="s">
        <v>6</v>
      </c>
      <c r="H42">
        <v>12232.86441</v>
      </c>
      <c r="I42">
        <f t="shared" si="4"/>
        <v>14518.02953</v>
      </c>
    </row>
    <row r="43" spans="1:16" x14ac:dyDescent="0.2">
      <c r="A43" t="s">
        <v>3</v>
      </c>
      <c r="B43">
        <v>65279.299604</v>
      </c>
      <c r="C43" t="s">
        <v>4</v>
      </c>
      <c r="D43">
        <v>14001.001504</v>
      </c>
      <c r="E43" t="s">
        <v>5</v>
      </c>
      <c r="F43">
        <v>2226.7744899999998</v>
      </c>
      <c r="G43" t="s">
        <v>6</v>
      </c>
      <c r="H43">
        <v>18293.176208000001</v>
      </c>
      <c r="I43">
        <f t="shared" si="4"/>
        <v>20519.950698000001</v>
      </c>
    </row>
    <row r="44" spans="1:16" x14ac:dyDescent="0.2">
      <c r="A44" t="s">
        <v>3</v>
      </c>
      <c r="B44">
        <v>64359.029847999998</v>
      </c>
      <c r="C44" t="s">
        <v>4</v>
      </c>
      <c r="D44">
        <v>14001.00086</v>
      </c>
      <c r="E44" t="s">
        <v>5</v>
      </c>
      <c r="F44">
        <v>2238.6708210000002</v>
      </c>
      <c r="G44" t="s">
        <v>6</v>
      </c>
      <c r="H44">
        <v>15898.072722999999</v>
      </c>
      <c r="I44">
        <f t="shared" si="4"/>
        <v>18136.743544000001</v>
      </c>
    </row>
    <row r="45" spans="1:16" x14ac:dyDescent="0.2">
      <c r="A45" t="s">
        <v>3</v>
      </c>
      <c r="B45">
        <v>64644.885247999999</v>
      </c>
      <c r="C45" t="s">
        <v>4</v>
      </c>
      <c r="D45">
        <v>14001.006735999999</v>
      </c>
      <c r="E45" t="s">
        <v>5</v>
      </c>
      <c r="F45">
        <v>2226.1333100000002</v>
      </c>
      <c r="G45" t="s">
        <v>6</v>
      </c>
      <c r="H45">
        <v>13850.49649</v>
      </c>
      <c r="I45">
        <f t="shared" si="4"/>
        <v>16076.629799999999</v>
      </c>
    </row>
    <row r="46" spans="1:16" x14ac:dyDescent="0.2">
      <c r="A46" t="s">
        <v>3</v>
      </c>
      <c r="B46">
        <v>64803.409355999996</v>
      </c>
      <c r="C46" t="s">
        <v>4</v>
      </c>
      <c r="D46">
        <v>14001.000076</v>
      </c>
      <c r="E46" t="s">
        <v>5</v>
      </c>
      <c r="F46">
        <v>2223.037178</v>
      </c>
      <c r="G46" t="s">
        <v>6</v>
      </c>
      <c r="H46">
        <v>15451.897918999999</v>
      </c>
      <c r="I46">
        <f t="shared" si="4"/>
        <v>17674.935096999998</v>
      </c>
    </row>
    <row r="47" spans="1:16" x14ac:dyDescent="0.2">
      <c r="A47" t="s">
        <v>3</v>
      </c>
      <c r="B47">
        <v>65269.570315999998</v>
      </c>
      <c r="C47" t="s">
        <v>4</v>
      </c>
      <c r="D47">
        <v>14001.000388</v>
      </c>
      <c r="E47" t="s">
        <v>5</v>
      </c>
      <c r="F47">
        <v>2221.8663750000001</v>
      </c>
      <c r="G47" t="s">
        <v>6</v>
      </c>
      <c r="H47">
        <v>18168.728698999999</v>
      </c>
      <c r="I47">
        <f t="shared" si="4"/>
        <v>20390.595074000001</v>
      </c>
    </row>
    <row r="48" spans="1:16" x14ac:dyDescent="0.2">
      <c r="A48" t="s">
        <v>11</v>
      </c>
    </row>
    <row r="49" spans="1:16" x14ac:dyDescent="0.2">
      <c r="A49" t="s">
        <v>3</v>
      </c>
      <c r="B49">
        <v>64407.610760000003</v>
      </c>
      <c r="C49" t="s">
        <v>4</v>
      </c>
      <c r="D49">
        <v>14001.001364</v>
      </c>
      <c r="E49" t="s">
        <v>5</v>
      </c>
      <c r="F49">
        <v>2208.7652750000002</v>
      </c>
      <c r="G49" t="s">
        <v>6</v>
      </c>
      <c r="H49">
        <v>2194.3251500000001</v>
      </c>
      <c r="I49">
        <f>F49+H49</f>
        <v>4403.0904250000003</v>
      </c>
      <c r="J49">
        <f>SUM(I49:I56)</f>
        <v>44832.074015000006</v>
      </c>
      <c r="K49">
        <v>7653.6980899999999</v>
      </c>
      <c r="L49">
        <f>J49/K49</f>
        <v>5.8575702213255196</v>
      </c>
      <c r="N49">
        <f>SUM(D49:D56)</f>
        <v>112008.00619200002</v>
      </c>
      <c r="O49">
        <v>360</v>
      </c>
      <c r="P49">
        <f>N49/O49</f>
        <v>311.13335053333338</v>
      </c>
    </row>
    <row r="50" spans="1:16" x14ac:dyDescent="0.2">
      <c r="A50" t="s">
        <v>3</v>
      </c>
      <c r="B50">
        <v>65027.392160000003</v>
      </c>
      <c r="C50" t="s">
        <v>4</v>
      </c>
      <c r="D50">
        <v>14001.001308000001</v>
      </c>
      <c r="E50" t="s">
        <v>5</v>
      </c>
      <c r="F50">
        <v>2253.5583510000001</v>
      </c>
      <c r="G50" t="s">
        <v>6</v>
      </c>
      <c r="H50">
        <v>3913.6880339999998</v>
      </c>
      <c r="I50">
        <f t="shared" ref="I50:I56" si="5">F50+H50</f>
        <v>6167.2463850000004</v>
      </c>
    </row>
    <row r="51" spans="1:16" x14ac:dyDescent="0.2">
      <c r="A51" t="s">
        <v>3</v>
      </c>
      <c r="B51">
        <v>63698.373295999998</v>
      </c>
      <c r="C51" t="s">
        <v>4</v>
      </c>
      <c r="D51">
        <v>14001.000556000001</v>
      </c>
      <c r="E51" t="s">
        <v>5</v>
      </c>
      <c r="F51">
        <v>2267.3023899999998</v>
      </c>
      <c r="G51" t="s">
        <v>6</v>
      </c>
      <c r="H51">
        <v>1864.308861</v>
      </c>
      <c r="I51">
        <f t="shared" si="5"/>
        <v>4131.6112510000003</v>
      </c>
    </row>
    <row r="52" spans="1:16" x14ac:dyDescent="0.2">
      <c r="A52" t="s">
        <v>3</v>
      </c>
      <c r="B52">
        <v>65279.832016</v>
      </c>
      <c r="C52" t="s">
        <v>4</v>
      </c>
      <c r="D52">
        <v>14001.000328</v>
      </c>
      <c r="E52" t="s">
        <v>5</v>
      </c>
      <c r="F52">
        <v>4186.2095410000002</v>
      </c>
      <c r="G52" t="s">
        <v>6</v>
      </c>
      <c r="H52">
        <v>3873.9715120000001</v>
      </c>
      <c r="I52">
        <f t="shared" si="5"/>
        <v>8060.1810530000002</v>
      </c>
    </row>
    <row r="53" spans="1:16" x14ac:dyDescent="0.2">
      <c r="A53" t="s">
        <v>3</v>
      </c>
      <c r="B53">
        <v>64366.643684000002</v>
      </c>
      <c r="C53" t="s">
        <v>4</v>
      </c>
      <c r="D53">
        <v>14001.000276000001</v>
      </c>
      <c r="E53" t="s">
        <v>5</v>
      </c>
      <c r="F53">
        <v>2258.7537630000002</v>
      </c>
      <c r="G53" t="s">
        <v>6</v>
      </c>
      <c r="H53">
        <v>2864.627426</v>
      </c>
      <c r="I53">
        <f t="shared" si="5"/>
        <v>5123.3811889999997</v>
      </c>
    </row>
    <row r="54" spans="1:16" x14ac:dyDescent="0.2">
      <c r="A54" t="s">
        <v>3</v>
      </c>
      <c r="B54">
        <v>64731.974128000002</v>
      </c>
      <c r="C54" t="s">
        <v>4</v>
      </c>
      <c r="D54">
        <v>14001.000496000001</v>
      </c>
      <c r="E54" t="s">
        <v>5</v>
      </c>
      <c r="F54">
        <v>2281.9727440000001</v>
      </c>
      <c r="G54" t="s">
        <v>6</v>
      </c>
      <c r="H54">
        <v>2046.2622530000001</v>
      </c>
      <c r="I54">
        <f t="shared" si="5"/>
        <v>4328.2349970000005</v>
      </c>
    </row>
    <row r="55" spans="1:16" x14ac:dyDescent="0.2">
      <c r="A55" t="s">
        <v>3</v>
      </c>
      <c r="B55">
        <v>64738.952700000002</v>
      </c>
      <c r="C55" t="s">
        <v>4</v>
      </c>
      <c r="D55">
        <v>14001.001768</v>
      </c>
      <c r="E55" t="s">
        <v>5</v>
      </c>
      <c r="F55">
        <v>3884.0944690000001</v>
      </c>
      <c r="G55" t="s">
        <v>6</v>
      </c>
      <c r="H55">
        <v>2601.2532879999999</v>
      </c>
      <c r="I55">
        <f t="shared" si="5"/>
        <v>6485.3477569999995</v>
      </c>
    </row>
    <row r="56" spans="1:16" x14ac:dyDescent="0.2">
      <c r="A56" t="s">
        <v>3</v>
      </c>
      <c r="B56">
        <v>65085.300391999997</v>
      </c>
      <c r="C56" t="s">
        <v>4</v>
      </c>
      <c r="D56">
        <v>14001.000096</v>
      </c>
      <c r="E56" t="s">
        <v>5</v>
      </c>
      <c r="F56">
        <v>2265.8270499999999</v>
      </c>
      <c r="G56" t="s">
        <v>6</v>
      </c>
      <c r="H56">
        <v>3867.1539079999998</v>
      </c>
      <c r="I56">
        <f t="shared" si="5"/>
        <v>6132.9809580000001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A00C-8C34-E04B-A78F-4B2281C331D7}">
  <dimension ref="A1:K24"/>
  <sheetViews>
    <sheetView tabSelected="1" workbookViewId="0">
      <selection activeCell="H15" sqref="H15:K24"/>
    </sheetView>
  </sheetViews>
  <sheetFormatPr baseColWidth="10" defaultRowHeight="16" x14ac:dyDescent="0.2"/>
  <sheetData>
    <row r="1" spans="1:11" x14ac:dyDescent="0.2">
      <c r="B1" t="s">
        <v>17</v>
      </c>
      <c r="C1" t="s">
        <v>19</v>
      </c>
      <c r="D1" t="s">
        <v>18</v>
      </c>
      <c r="I1" t="s">
        <v>17</v>
      </c>
      <c r="J1" t="s">
        <v>19</v>
      </c>
      <c r="K1" t="s">
        <v>18</v>
      </c>
    </row>
    <row r="2" spans="1:11" x14ac:dyDescent="0.2">
      <c r="A2" t="s">
        <v>20</v>
      </c>
      <c r="B2">
        <v>2.5351855574884858</v>
      </c>
      <c r="C2">
        <v>1.7407925485689659</v>
      </c>
      <c r="D2">
        <v>2.0052222233881416</v>
      </c>
      <c r="H2" t="s">
        <v>20</v>
      </c>
      <c r="I2">
        <v>2.5351855574884858</v>
      </c>
      <c r="J2">
        <v>1.7407925485689659</v>
      </c>
      <c r="K2">
        <v>2.0052222233881416</v>
      </c>
    </row>
    <row r="3" spans="1:11" x14ac:dyDescent="0.2">
      <c r="A3" t="s">
        <v>21</v>
      </c>
      <c r="H3" t="s">
        <v>21</v>
      </c>
      <c r="I3">
        <v>2.95</v>
      </c>
      <c r="J3">
        <v>2.0699999999999998</v>
      </c>
      <c r="K3">
        <v>0.23</v>
      </c>
    </row>
    <row r="4" spans="1:11" x14ac:dyDescent="0.2">
      <c r="A4" t="s">
        <v>14</v>
      </c>
      <c r="B4">
        <v>16.259852443233456</v>
      </c>
      <c r="C4">
        <v>12.854412368470948</v>
      </c>
      <c r="D4">
        <v>8.86074325477842</v>
      </c>
      <c r="H4" t="s">
        <v>14</v>
      </c>
      <c r="I4">
        <v>16.259852443233456</v>
      </c>
      <c r="J4">
        <v>12.854412368470948</v>
      </c>
      <c r="K4">
        <v>8.86074325477842</v>
      </c>
    </row>
    <row r="5" spans="1:11" x14ac:dyDescent="0.2">
      <c r="A5" t="s">
        <v>22</v>
      </c>
      <c r="H5" t="s">
        <v>22</v>
      </c>
      <c r="I5">
        <v>1.92</v>
      </c>
      <c r="J5">
        <v>1.72</v>
      </c>
      <c r="K5">
        <v>2.38</v>
      </c>
    </row>
    <row r="6" spans="1:11" x14ac:dyDescent="0.2">
      <c r="A6" t="s">
        <v>23</v>
      </c>
      <c r="B6">
        <v>2.6274612036316944</v>
      </c>
      <c r="C6">
        <v>1.8850201354659977</v>
      </c>
      <c r="D6">
        <v>3.2226046498331042</v>
      </c>
      <c r="H6" t="s">
        <v>23</v>
      </c>
      <c r="I6">
        <v>2.6274612036316944</v>
      </c>
      <c r="J6">
        <v>1.8850201354659977</v>
      </c>
      <c r="K6">
        <v>3.2226046498331042</v>
      </c>
    </row>
    <row r="7" spans="1:11" x14ac:dyDescent="0.2">
      <c r="A7" t="s">
        <v>15</v>
      </c>
      <c r="B7">
        <v>3.2740807839923041</v>
      </c>
      <c r="C7">
        <v>1.3559070076254056</v>
      </c>
      <c r="D7">
        <v>1.7965732048237277</v>
      </c>
      <c r="H7" t="s">
        <v>15</v>
      </c>
      <c r="I7">
        <v>3.2740807839923041</v>
      </c>
      <c r="J7">
        <v>1.3559070076254056</v>
      </c>
      <c r="K7">
        <v>1.7965732048237277</v>
      </c>
    </row>
    <row r="8" spans="1:11" x14ac:dyDescent="0.2">
      <c r="A8" t="s">
        <v>24</v>
      </c>
      <c r="B8">
        <v>2.5182516087876534</v>
      </c>
      <c r="C8">
        <v>1.8591757402566604</v>
      </c>
      <c r="D8">
        <v>2.3627305326275678</v>
      </c>
      <c r="H8" t="s">
        <v>24</v>
      </c>
      <c r="I8">
        <v>2.5182516087876534</v>
      </c>
      <c r="J8">
        <v>1.8591757402566604</v>
      </c>
      <c r="K8">
        <v>2.3627305326275678</v>
      </c>
    </row>
    <row r="9" spans="1:11" x14ac:dyDescent="0.2">
      <c r="A9" t="s">
        <v>25</v>
      </c>
      <c r="B9">
        <v>1.9758543381005587</v>
      </c>
      <c r="C9">
        <v>5.4746377815597933</v>
      </c>
      <c r="D9">
        <v>5.8575702213255196</v>
      </c>
      <c r="H9" t="s">
        <v>25</v>
      </c>
      <c r="I9">
        <v>1.9758543381005587</v>
      </c>
      <c r="J9">
        <v>5.4746377815597933</v>
      </c>
      <c r="K9">
        <v>5.8575702213255196</v>
      </c>
    </row>
    <row r="10" spans="1:11" x14ac:dyDescent="0.2">
      <c r="A10" t="s">
        <v>16</v>
      </c>
      <c r="H10" t="s">
        <v>16</v>
      </c>
      <c r="I10">
        <v>1.95</v>
      </c>
      <c r="J10">
        <v>4.72</v>
      </c>
      <c r="K10">
        <v>4.71</v>
      </c>
    </row>
    <row r="15" spans="1:11" x14ac:dyDescent="0.2">
      <c r="I15" t="s">
        <v>17</v>
      </c>
      <c r="J15" t="s">
        <v>19</v>
      </c>
      <c r="K15" t="s">
        <v>18</v>
      </c>
    </row>
    <row r="16" spans="1:11" x14ac:dyDescent="0.2">
      <c r="H16" t="s">
        <v>20</v>
      </c>
      <c r="I16">
        <v>36.121268271428569</v>
      </c>
      <c r="J16">
        <v>17.501250666874999</v>
      </c>
      <c r="K16">
        <v>17.501250849374998</v>
      </c>
    </row>
    <row r="17" spans="8:11" x14ac:dyDescent="0.2">
      <c r="H17" t="s">
        <v>21</v>
      </c>
      <c r="I17">
        <v>18.89</v>
      </c>
      <c r="J17">
        <v>50</v>
      </c>
      <c r="K17">
        <v>50</v>
      </c>
    </row>
    <row r="18" spans="8:11" x14ac:dyDescent="0.2">
      <c r="H18" t="s">
        <v>14</v>
      </c>
      <c r="I18">
        <v>252.78917798000003</v>
      </c>
      <c r="J18">
        <v>112.00800278000001</v>
      </c>
      <c r="K18">
        <v>112.00801365599999</v>
      </c>
    </row>
    <row r="19" spans="8:11" x14ac:dyDescent="0.2">
      <c r="H19" t="s">
        <v>22</v>
      </c>
      <c r="I19">
        <v>251</v>
      </c>
      <c r="J19">
        <v>110</v>
      </c>
      <c r="K19">
        <v>110</v>
      </c>
    </row>
    <row r="20" spans="8:11" x14ac:dyDescent="0.2">
      <c r="H20" t="s">
        <v>23</v>
      </c>
      <c r="I20">
        <v>25.293752829000002</v>
      </c>
      <c r="J20">
        <v>21.540001324615382</v>
      </c>
      <c r="K20">
        <v>21.540001773846154</v>
      </c>
    </row>
    <row r="21" spans="8:11" x14ac:dyDescent="0.2">
      <c r="H21" t="s">
        <v>15</v>
      </c>
      <c r="I21">
        <v>168.48553508666663</v>
      </c>
      <c r="J21">
        <v>70.005004512499994</v>
      </c>
      <c r="K21">
        <v>70.005006552499992</v>
      </c>
    </row>
    <row r="22" spans="8:11" x14ac:dyDescent="0.2">
      <c r="H22" t="s">
        <v>24</v>
      </c>
      <c r="I22">
        <v>280.86280667777777</v>
      </c>
      <c r="J22">
        <v>140.01000819999999</v>
      </c>
      <c r="K22">
        <v>140.01001547999999</v>
      </c>
    </row>
    <row r="23" spans="8:11" x14ac:dyDescent="0.2">
      <c r="H23" t="s">
        <v>25</v>
      </c>
      <c r="I23">
        <v>722.47821477142861</v>
      </c>
      <c r="J23">
        <v>311.11333571444402</v>
      </c>
      <c r="K23">
        <v>311.113335053333</v>
      </c>
    </row>
    <row r="24" spans="8:11" x14ac:dyDescent="0.2">
      <c r="H24" t="s">
        <v>16</v>
      </c>
      <c r="I24">
        <v>722</v>
      </c>
      <c r="J24">
        <v>313.02627218338279</v>
      </c>
      <c r="K24">
        <v>313.02627218338279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99B3-B020-BE42-B9D7-D6BB8FF1B832}">
  <dimension ref="A1:K75"/>
  <sheetViews>
    <sheetView topLeftCell="A47" workbookViewId="0">
      <selection activeCell="E75" sqref="E75"/>
    </sheetView>
  </sheetViews>
  <sheetFormatPr baseColWidth="10" defaultRowHeight="16" x14ac:dyDescent="0.2"/>
  <cols>
    <col min="1" max="1" width="17.5" customWidth="1"/>
    <col min="2" max="2" width="19.5" customWidth="1"/>
    <col min="3" max="3" width="28.33203125" customWidth="1"/>
    <col min="4" max="4" width="20" customWidth="1"/>
    <col min="5" max="5" width="16" customWidth="1"/>
    <col min="6" max="6" width="17.6640625" customWidth="1"/>
  </cols>
  <sheetData>
    <row r="1" spans="1:11" x14ac:dyDescent="0.2">
      <c r="A1" t="s">
        <v>30</v>
      </c>
    </row>
    <row r="2" spans="1:11" x14ac:dyDescent="0.2">
      <c r="A2" t="s">
        <v>3</v>
      </c>
      <c r="B2">
        <v>12599.544620000001</v>
      </c>
      <c r="C2" t="s">
        <v>4</v>
      </c>
      <c r="D2">
        <v>12599.544620000001</v>
      </c>
      <c r="E2" t="s">
        <v>5</v>
      </c>
      <c r="F2">
        <v>2632.5973979999999</v>
      </c>
      <c r="G2" t="s">
        <v>6</v>
      </c>
      <c r="H2">
        <v>3339.719963</v>
      </c>
      <c r="I2">
        <f>F2+H2</f>
        <v>5972.3173609999994</v>
      </c>
    </row>
    <row r="3" spans="1:11" x14ac:dyDescent="0.2">
      <c r="A3" t="s">
        <v>3</v>
      </c>
      <c r="B3">
        <v>12794.155747999999</v>
      </c>
      <c r="C3" t="s">
        <v>4</v>
      </c>
      <c r="D3">
        <v>12794.155747999999</v>
      </c>
      <c r="E3" t="s">
        <v>5</v>
      </c>
      <c r="F3">
        <v>1418.89174</v>
      </c>
      <c r="G3" t="s">
        <v>6</v>
      </c>
      <c r="H3">
        <v>4484.4247740000001</v>
      </c>
      <c r="I3">
        <f t="shared" ref="I3:I9" si="0">F3+H3</f>
        <v>5903.3165140000001</v>
      </c>
    </row>
    <row r="4" spans="1:11" x14ac:dyDescent="0.2">
      <c r="A4" t="s">
        <v>3</v>
      </c>
      <c r="B4">
        <v>12659.238492</v>
      </c>
      <c r="C4" t="s">
        <v>4</v>
      </c>
      <c r="D4">
        <v>12659.238492</v>
      </c>
      <c r="E4" t="s">
        <v>5</v>
      </c>
      <c r="F4">
        <v>2664.1254990000002</v>
      </c>
      <c r="G4" t="s">
        <v>6</v>
      </c>
      <c r="H4">
        <v>4672.0510560000002</v>
      </c>
      <c r="I4">
        <f t="shared" si="0"/>
        <v>7336.176555</v>
      </c>
    </row>
    <row r="5" spans="1:11" x14ac:dyDescent="0.2">
      <c r="A5" t="s">
        <v>3</v>
      </c>
      <c r="B5">
        <v>12640.213244</v>
      </c>
      <c r="C5" t="s">
        <v>4</v>
      </c>
      <c r="D5">
        <v>12640.213244</v>
      </c>
      <c r="E5" t="s">
        <v>5</v>
      </c>
      <c r="F5">
        <v>2654.0857390000001</v>
      </c>
      <c r="G5" t="s">
        <v>6</v>
      </c>
      <c r="H5">
        <v>4084.8685300000002</v>
      </c>
      <c r="I5">
        <f t="shared" si="0"/>
        <v>6738.9542689999998</v>
      </c>
    </row>
    <row r="6" spans="1:11" x14ac:dyDescent="0.2">
      <c r="A6" t="s">
        <v>3</v>
      </c>
      <c r="B6">
        <v>12661.369004</v>
      </c>
      <c r="C6" t="s">
        <v>4</v>
      </c>
      <c r="D6">
        <v>12661.369004</v>
      </c>
      <c r="E6" t="s">
        <v>5</v>
      </c>
      <c r="F6">
        <v>2657.609258</v>
      </c>
      <c r="G6" t="s">
        <v>6</v>
      </c>
      <c r="H6">
        <v>6741.5809330000002</v>
      </c>
      <c r="I6">
        <f t="shared" si="0"/>
        <v>9399.1901909999997</v>
      </c>
    </row>
    <row r="7" spans="1:11" x14ac:dyDescent="0.2">
      <c r="A7" t="s">
        <v>3</v>
      </c>
      <c r="B7">
        <v>12630.817228</v>
      </c>
      <c r="C7" t="s">
        <v>4</v>
      </c>
      <c r="D7">
        <v>12630.817228</v>
      </c>
      <c r="E7" t="s">
        <v>5</v>
      </c>
      <c r="F7">
        <v>2648.5391020000002</v>
      </c>
      <c r="G7" t="s">
        <v>6</v>
      </c>
      <c r="H7">
        <v>10770.108093000001</v>
      </c>
      <c r="I7">
        <f t="shared" si="0"/>
        <v>13418.647195000001</v>
      </c>
    </row>
    <row r="8" spans="1:11" x14ac:dyDescent="0.2">
      <c r="A8" t="s">
        <v>3</v>
      </c>
      <c r="B8">
        <v>12567.784652</v>
      </c>
      <c r="C8" t="s">
        <v>4</v>
      </c>
      <c r="D8">
        <v>12567.784652</v>
      </c>
      <c r="E8" t="s">
        <v>5</v>
      </c>
      <c r="F8">
        <v>2633.1827410000001</v>
      </c>
      <c r="G8" t="s">
        <v>6</v>
      </c>
      <c r="H8">
        <v>3752.0593950000002</v>
      </c>
      <c r="I8">
        <f t="shared" si="0"/>
        <v>6385.2421360000008</v>
      </c>
    </row>
    <row r="9" spans="1:11" x14ac:dyDescent="0.2">
      <c r="A9" t="s">
        <v>3</v>
      </c>
      <c r="B9">
        <v>12577.34094</v>
      </c>
      <c r="C9" t="s">
        <v>4</v>
      </c>
      <c r="D9">
        <v>12577.34094</v>
      </c>
      <c r="E9" t="s">
        <v>5</v>
      </c>
      <c r="F9">
        <v>2659.5675510000001</v>
      </c>
      <c r="G9" t="s">
        <v>6</v>
      </c>
      <c r="H9">
        <v>2725.427017</v>
      </c>
      <c r="I9">
        <f t="shared" si="0"/>
        <v>5384.9945680000001</v>
      </c>
    </row>
    <row r="10" spans="1:11" x14ac:dyDescent="0.2">
      <c r="D10">
        <f>SUM(D2:D9)</f>
        <v>101130.46392799998</v>
      </c>
      <c r="E10">
        <v>5353</v>
      </c>
      <c r="I10">
        <f>SUM(I2:I9)</f>
        <v>60538.838789000009</v>
      </c>
      <c r="J10">
        <v>20509.550415000002</v>
      </c>
      <c r="K10">
        <f>I10/J10</f>
        <v>2.9517389491250827</v>
      </c>
    </row>
    <row r="11" spans="1:11" x14ac:dyDescent="0.2">
      <c r="E11">
        <f>D10/E10</f>
        <v>18.892296642630299</v>
      </c>
    </row>
    <row r="14" spans="1:11" x14ac:dyDescent="0.2">
      <c r="A14" t="s">
        <v>32</v>
      </c>
    </row>
    <row r="15" spans="1:11" x14ac:dyDescent="0.2">
      <c r="A15" t="s">
        <v>31</v>
      </c>
    </row>
    <row r="16" spans="1:11" x14ac:dyDescent="0.2">
      <c r="A16" t="s">
        <v>3</v>
      </c>
      <c r="B16">
        <v>12611.3735</v>
      </c>
      <c r="C16" t="s">
        <v>4</v>
      </c>
      <c r="D16">
        <v>12611.3735</v>
      </c>
      <c r="E16" t="s">
        <v>5</v>
      </c>
      <c r="F16">
        <v>2639.9446400000002</v>
      </c>
      <c r="G16" t="s">
        <v>6</v>
      </c>
      <c r="H16">
        <v>12182.843262</v>
      </c>
      <c r="I16">
        <f>F16+H16</f>
        <v>14822.787902</v>
      </c>
    </row>
    <row r="17" spans="1:11" x14ac:dyDescent="0.2">
      <c r="A17" t="s">
        <v>3</v>
      </c>
      <c r="B17">
        <v>12777.766748</v>
      </c>
      <c r="C17" t="s">
        <v>4</v>
      </c>
      <c r="D17">
        <v>12777.766748</v>
      </c>
      <c r="E17" t="s">
        <v>5</v>
      </c>
      <c r="F17">
        <v>2684.0034909999999</v>
      </c>
      <c r="G17" t="s">
        <v>6</v>
      </c>
      <c r="H17">
        <v>3080.8779220000001</v>
      </c>
      <c r="I17">
        <f t="shared" ref="I17:I23" si="1">F17+H17</f>
        <v>5764.8814130000001</v>
      </c>
    </row>
    <row r="18" spans="1:11" x14ac:dyDescent="0.2">
      <c r="A18" t="s">
        <v>3</v>
      </c>
      <c r="B18">
        <v>12669.049435999999</v>
      </c>
      <c r="C18" t="s">
        <v>4</v>
      </c>
      <c r="D18">
        <v>12669.049435999999</v>
      </c>
      <c r="E18" t="s">
        <v>5</v>
      </c>
      <c r="F18">
        <v>2634.5583109999998</v>
      </c>
      <c r="G18" t="s">
        <v>6</v>
      </c>
      <c r="H18">
        <v>2245.4069629999999</v>
      </c>
      <c r="I18">
        <f t="shared" si="1"/>
        <v>4879.9652740000001</v>
      </c>
    </row>
    <row r="19" spans="1:11" x14ac:dyDescent="0.2">
      <c r="A19" t="s">
        <v>3</v>
      </c>
      <c r="B19">
        <v>12640.177232</v>
      </c>
      <c r="C19" t="s">
        <v>4</v>
      </c>
      <c r="D19">
        <v>12640.177232</v>
      </c>
      <c r="E19" t="s">
        <v>5</v>
      </c>
      <c r="F19">
        <v>3233.902709</v>
      </c>
      <c r="G19" t="s">
        <v>6</v>
      </c>
      <c r="H19">
        <v>65297.486449999997</v>
      </c>
      <c r="I19">
        <f t="shared" si="1"/>
        <v>68531.389158999998</v>
      </c>
    </row>
    <row r="20" spans="1:11" x14ac:dyDescent="0.2">
      <c r="A20" t="s">
        <v>3</v>
      </c>
      <c r="B20">
        <v>12683.573076000001</v>
      </c>
      <c r="C20" t="s">
        <v>4</v>
      </c>
      <c r="D20">
        <v>12683.573076000001</v>
      </c>
      <c r="E20" t="s">
        <v>5</v>
      </c>
      <c r="F20">
        <v>2662.4533160000001</v>
      </c>
      <c r="G20" t="s">
        <v>6</v>
      </c>
      <c r="H20">
        <v>3053.2969170000001</v>
      </c>
      <c r="I20">
        <f t="shared" si="1"/>
        <v>5715.7502330000007</v>
      </c>
    </row>
    <row r="21" spans="1:11" x14ac:dyDescent="0.2">
      <c r="A21" t="s">
        <v>3</v>
      </c>
      <c r="B21">
        <v>12604.508448</v>
      </c>
      <c r="C21" t="s">
        <v>4</v>
      </c>
      <c r="D21">
        <v>12604.508448</v>
      </c>
      <c r="E21" t="s">
        <v>5</v>
      </c>
      <c r="F21">
        <v>2637.013684</v>
      </c>
      <c r="G21" t="s">
        <v>6</v>
      </c>
      <c r="H21">
        <v>17075.080750000001</v>
      </c>
      <c r="I21">
        <f t="shared" si="1"/>
        <v>19712.094434000002</v>
      </c>
    </row>
    <row r="22" spans="1:11" x14ac:dyDescent="0.2">
      <c r="A22" t="s">
        <v>3</v>
      </c>
      <c r="B22">
        <v>12582.043236</v>
      </c>
      <c r="C22" t="s">
        <v>4</v>
      </c>
      <c r="D22">
        <v>12582.043236</v>
      </c>
      <c r="E22" t="s">
        <v>5</v>
      </c>
      <c r="F22">
        <v>2657.2969640000001</v>
      </c>
      <c r="G22" t="s">
        <v>6</v>
      </c>
      <c r="H22">
        <v>11873.778381</v>
      </c>
      <c r="I22">
        <f t="shared" si="1"/>
        <v>14531.075345000001</v>
      </c>
    </row>
    <row r="23" spans="1:11" x14ac:dyDescent="0.2">
      <c r="A23" t="s">
        <v>3</v>
      </c>
      <c r="B23">
        <v>12577.498244</v>
      </c>
      <c r="C23" t="s">
        <v>4</v>
      </c>
      <c r="D23">
        <v>12577.498244</v>
      </c>
      <c r="E23" t="s">
        <v>5</v>
      </c>
      <c r="F23">
        <v>2645.339367</v>
      </c>
      <c r="G23" t="s">
        <v>6</v>
      </c>
      <c r="H23">
        <v>2178.5567470000001</v>
      </c>
      <c r="I23">
        <f t="shared" si="1"/>
        <v>4823.8961140000001</v>
      </c>
    </row>
    <row r="24" spans="1:11" x14ac:dyDescent="0.2">
      <c r="D24">
        <f>SUM(D16:D23)</f>
        <v>101145.98992000001</v>
      </c>
      <c r="E24">
        <v>402</v>
      </c>
      <c r="I24">
        <f>SUM(I16:I23)</f>
        <v>138781.839874</v>
      </c>
      <c r="J24">
        <v>71997.637207000007</v>
      </c>
      <c r="K24">
        <f>I24/J24</f>
        <v>1.9275888106576207</v>
      </c>
    </row>
    <row r="25" spans="1:11" x14ac:dyDescent="0.2">
      <c r="E25">
        <f>D24/E24</f>
        <v>251.60694009950251</v>
      </c>
    </row>
    <row r="26" spans="1:11" x14ac:dyDescent="0.2">
      <c r="A26" t="s">
        <v>34</v>
      </c>
    </row>
    <row r="27" spans="1:11" x14ac:dyDescent="0.2">
      <c r="A27" t="s">
        <v>33</v>
      </c>
    </row>
    <row r="28" spans="1:11" x14ac:dyDescent="0.2">
      <c r="A28" t="s">
        <v>3</v>
      </c>
      <c r="B28">
        <v>12578.821808000001</v>
      </c>
      <c r="C28" t="s">
        <v>4</v>
      </c>
      <c r="D28">
        <v>12578.821808000001</v>
      </c>
      <c r="E28" t="s">
        <v>5</v>
      </c>
      <c r="F28">
        <v>2642.8499400000001</v>
      </c>
      <c r="G28" t="s">
        <v>6</v>
      </c>
      <c r="H28">
        <v>414566.925781</v>
      </c>
      <c r="I28">
        <f>F28+H28</f>
        <v>417209.77572099998</v>
      </c>
    </row>
    <row r="29" spans="1:11" x14ac:dyDescent="0.2">
      <c r="A29" t="s">
        <v>3</v>
      </c>
      <c r="B29">
        <v>12759.856427999999</v>
      </c>
      <c r="C29" t="s">
        <v>4</v>
      </c>
      <c r="D29">
        <v>12759.856427999999</v>
      </c>
      <c r="E29" t="s">
        <v>5</v>
      </c>
      <c r="F29">
        <v>2688.4344160000001</v>
      </c>
      <c r="G29" t="s">
        <v>6</v>
      </c>
      <c r="H29">
        <v>107211.02783200001</v>
      </c>
      <c r="I29">
        <f t="shared" ref="I29:I35" si="2">F29+H29</f>
        <v>109899.46224800001</v>
      </c>
    </row>
    <row r="30" spans="1:11" x14ac:dyDescent="0.2">
      <c r="A30" t="s">
        <v>3</v>
      </c>
      <c r="B30">
        <v>12683.403632</v>
      </c>
      <c r="C30" t="s">
        <v>4</v>
      </c>
      <c r="D30">
        <v>12683.403632</v>
      </c>
      <c r="E30" t="s">
        <v>5</v>
      </c>
      <c r="F30">
        <v>2674.0998930000001</v>
      </c>
      <c r="G30" t="s">
        <v>6</v>
      </c>
      <c r="H30">
        <v>126121.575195</v>
      </c>
      <c r="I30">
        <f t="shared" si="2"/>
        <v>128795.675088</v>
      </c>
    </row>
    <row r="31" spans="1:11" x14ac:dyDescent="0.2">
      <c r="A31" t="s">
        <v>3</v>
      </c>
      <c r="B31">
        <v>12631.819595999999</v>
      </c>
      <c r="C31" t="s">
        <v>4</v>
      </c>
      <c r="D31">
        <v>12631.819595999999</v>
      </c>
      <c r="E31" t="s">
        <v>5</v>
      </c>
      <c r="F31">
        <v>2653.1696339999999</v>
      </c>
      <c r="G31" t="s">
        <v>6</v>
      </c>
      <c r="H31">
        <v>1279115.6171879999</v>
      </c>
      <c r="I31">
        <f t="shared" si="2"/>
        <v>1281768.7868219998</v>
      </c>
    </row>
    <row r="32" spans="1:11" x14ac:dyDescent="0.2">
      <c r="A32" t="s">
        <v>3</v>
      </c>
      <c r="B32">
        <v>12680.045808000001</v>
      </c>
      <c r="C32" t="s">
        <v>4</v>
      </c>
      <c r="D32">
        <v>12680.045808000001</v>
      </c>
      <c r="E32" t="s">
        <v>5</v>
      </c>
      <c r="F32">
        <v>2661.3789790000001</v>
      </c>
      <c r="G32" t="s">
        <v>6</v>
      </c>
      <c r="H32">
        <v>30028.852782999998</v>
      </c>
      <c r="I32">
        <f t="shared" si="2"/>
        <v>32690.231761999999</v>
      </c>
    </row>
    <row r="33" spans="1:11" x14ac:dyDescent="0.2">
      <c r="A33" t="s">
        <v>3</v>
      </c>
      <c r="B33">
        <v>12629.602064000001</v>
      </c>
      <c r="C33" t="s">
        <v>4</v>
      </c>
      <c r="D33">
        <v>12629.602064000001</v>
      </c>
      <c r="E33" t="s">
        <v>5</v>
      </c>
      <c r="F33">
        <v>2649.7521019999999</v>
      </c>
      <c r="G33" t="s">
        <v>6</v>
      </c>
      <c r="H33">
        <v>62930.296143</v>
      </c>
      <c r="I33">
        <f t="shared" si="2"/>
        <v>65580.048244999998</v>
      </c>
    </row>
    <row r="34" spans="1:11" x14ac:dyDescent="0.2">
      <c r="A34" t="s">
        <v>3</v>
      </c>
      <c r="B34">
        <v>12571.709052</v>
      </c>
      <c r="C34" t="s">
        <v>4</v>
      </c>
      <c r="D34">
        <v>12571.709052</v>
      </c>
      <c r="E34" t="s">
        <v>5</v>
      </c>
      <c r="F34">
        <v>2636.6880139999998</v>
      </c>
      <c r="G34" t="s">
        <v>6</v>
      </c>
      <c r="H34">
        <v>338190.64941399998</v>
      </c>
      <c r="I34">
        <f t="shared" si="2"/>
        <v>340827.337428</v>
      </c>
    </row>
    <row r="35" spans="1:11" x14ac:dyDescent="0.2">
      <c r="A35" t="s">
        <v>3</v>
      </c>
      <c r="B35">
        <v>12589.02972</v>
      </c>
      <c r="C35" t="s">
        <v>4</v>
      </c>
      <c r="D35">
        <v>12589.02972</v>
      </c>
      <c r="E35" t="s">
        <v>5</v>
      </c>
      <c r="F35">
        <v>2653.1279679999998</v>
      </c>
      <c r="G35" t="s">
        <v>6</v>
      </c>
      <c r="H35">
        <v>146475.480469</v>
      </c>
      <c r="I35">
        <f t="shared" si="2"/>
        <v>149128.60843699999</v>
      </c>
    </row>
    <row r="36" spans="1:11" x14ac:dyDescent="0.2">
      <c r="D36">
        <f>SUM(D28:D35)</f>
        <v>101124.28810800002</v>
      </c>
      <c r="E36">
        <v>140</v>
      </c>
      <c r="I36">
        <f>SUM(I28:I35)</f>
        <v>2525899.9257509997</v>
      </c>
      <c r="J36">
        <v>1289020.5273440001</v>
      </c>
      <c r="K36">
        <f>I36/J36</f>
        <v>1.9595498071357822</v>
      </c>
    </row>
    <row r="37" spans="1:11" x14ac:dyDescent="0.2">
      <c r="E37">
        <f>D36/E36</f>
        <v>722.31634362857164</v>
      </c>
    </row>
    <row r="38" spans="1:11" x14ac:dyDescent="0.2">
      <c r="A38" t="s">
        <v>36</v>
      </c>
    </row>
    <row r="39" spans="1:11" x14ac:dyDescent="0.2">
      <c r="A39" t="s">
        <v>35</v>
      </c>
    </row>
    <row r="40" spans="1:11" x14ac:dyDescent="0.2">
      <c r="A40" t="s">
        <v>3</v>
      </c>
      <c r="B40">
        <v>22881.030387999999</v>
      </c>
      <c r="C40" t="s">
        <v>4</v>
      </c>
      <c r="D40">
        <v>14001.000552</v>
      </c>
      <c r="E40" t="s">
        <v>5</v>
      </c>
      <c r="F40">
        <v>3499.848508</v>
      </c>
      <c r="G40" t="s">
        <v>6</v>
      </c>
      <c r="H40">
        <v>4091.220757</v>
      </c>
    </row>
    <row r="41" spans="1:11" x14ac:dyDescent="0.2">
      <c r="A41" t="s">
        <v>3</v>
      </c>
      <c r="B41">
        <v>22826.26888</v>
      </c>
      <c r="C41" t="s">
        <v>4</v>
      </c>
      <c r="D41">
        <v>14001.000196000001</v>
      </c>
      <c r="E41" t="s">
        <v>5</v>
      </c>
      <c r="F41">
        <v>1503.6137490000001</v>
      </c>
      <c r="G41" t="s">
        <v>6</v>
      </c>
      <c r="H41">
        <v>3580.0716779999998</v>
      </c>
    </row>
    <row r="42" spans="1:11" x14ac:dyDescent="0.2">
      <c r="A42" t="s">
        <v>3</v>
      </c>
      <c r="B42">
        <v>22834.020123999999</v>
      </c>
      <c r="C42" t="s">
        <v>4</v>
      </c>
      <c r="D42">
        <v>14001.000904</v>
      </c>
      <c r="E42" t="s">
        <v>5</v>
      </c>
      <c r="F42">
        <v>1664.9178710000001</v>
      </c>
      <c r="G42" t="s">
        <v>6</v>
      </c>
      <c r="H42">
        <v>3771.7369309999999</v>
      </c>
    </row>
    <row r="43" spans="1:11" x14ac:dyDescent="0.2">
      <c r="A43" t="s">
        <v>3</v>
      </c>
      <c r="B43">
        <v>22825.738600000001</v>
      </c>
      <c r="C43" t="s">
        <v>4</v>
      </c>
      <c r="D43">
        <v>14001.00086</v>
      </c>
      <c r="E43" t="s">
        <v>5</v>
      </c>
      <c r="F43">
        <v>1501.605718</v>
      </c>
      <c r="G43" t="s">
        <v>6</v>
      </c>
      <c r="H43">
        <v>3393.161552</v>
      </c>
    </row>
    <row r="44" spans="1:11" x14ac:dyDescent="0.2">
      <c r="A44" t="s">
        <v>3</v>
      </c>
      <c r="B44">
        <v>22861.788524</v>
      </c>
      <c r="C44" t="s">
        <v>4</v>
      </c>
      <c r="D44">
        <v>14001.001376</v>
      </c>
      <c r="E44" t="s">
        <v>5</v>
      </c>
      <c r="F44">
        <v>1499.9766790000001</v>
      </c>
      <c r="G44" t="s">
        <v>6</v>
      </c>
      <c r="H44">
        <v>3858.9037859999999</v>
      </c>
    </row>
    <row r="45" spans="1:11" x14ac:dyDescent="0.2">
      <c r="A45" t="s">
        <v>3</v>
      </c>
      <c r="B45">
        <v>22843.660520000001</v>
      </c>
      <c r="C45" t="s">
        <v>4</v>
      </c>
      <c r="D45">
        <v>14001.000652000001</v>
      </c>
      <c r="E45" t="s">
        <v>5</v>
      </c>
      <c r="F45">
        <v>1509.1938029999999</v>
      </c>
      <c r="G45" t="s">
        <v>6</v>
      </c>
      <c r="H45">
        <v>3262.2887949999999</v>
      </c>
    </row>
    <row r="46" spans="1:11" x14ac:dyDescent="0.2">
      <c r="A46" t="s">
        <v>3</v>
      </c>
      <c r="B46">
        <v>22799.86148</v>
      </c>
      <c r="C46" t="s">
        <v>4</v>
      </c>
      <c r="D46">
        <v>14001.000303999999</v>
      </c>
      <c r="E46" t="s">
        <v>5</v>
      </c>
      <c r="F46">
        <v>1513.207999</v>
      </c>
      <c r="G46" t="s">
        <v>6</v>
      </c>
      <c r="H46">
        <v>4153.4494089999998</v>
      </c>
    </row>
    <row r="47" spans="1:11" x14ac:dyDescent="0.2">
      <c r="A47" t="s">
        <v>3</v>
      </c>
      <c r="B47">
        <v>22805.407835999998</v>
      </c>
      <c r="C47" t="s">
        <v>4</v>
      </c>
      <c r="D47">
        <v>14001.00088</v>
      </c>
      <c r="E47" t="s">
        <v>5</v>
      </c>
      <c r="F47">
        <v>2924.435958</v>
      </c>
      <c r="G47" t="s">
        <v>6</v>
      </c>
      <c r="H47">
        <v>3634.1246030000002</v>
      </c>
    </row>
    <row r="48" spans="1:11" x14ac:dyDescent="0.2">
      <c r="D48">
        <f>SUM(D40:D47)</f>
        <v>112008.00572400002</v>
      </c>
      <c r="E48">
        <v>2208.2964999999999</v>
      </c>
    </row>
    <row r="49" spans="1:8" x14ac:dyDescent="0.2">
      <c r="E49">
        <f>D48/E48</f>
        <v>50.721452361129955</v>
      </c>
    </row>
    <row r="52" spans="1:8" x14ac:dyDescent="0.2">
      <c r="A52" t="s">
        <v>31</v>
      </c>
    </row>
    <row r="53" spans="1:8" x14ac:dyDescent="0.2">
      <c r="A53" t="s">
        <v>3</v>
      </c>
      <c r="B53">
        <v>22868.506872000002</v>
      </c>
      <c r="C53" t="s">
        <v>4</v>
      </c>
      <c r="D53">
        <v>14001.000411999999</v>
      </c>
      <c r="E53" t="s">
        <v>5</v>
      </c>
      <c r="F53">
        <v>2014.1600370000001</v>
      </c>
      <c r="G53" t="s">
        <v>6</v>
      </c>
      <c r="H53">
        <v>539.12877700000001</v>
      </c>
    </row>
    <row r="54" spans="1:8" x14ac:dyDescent="0.2">
      <c r="A54" t="s">
        <v>3</v>
      </c>
      <c r="B54">
        <v>22830.987811999999</v>
      </c>
      <c r="C54" t="s">
        <v>4</v>
      </c>
      <c r="D54">
        <v>14001.001780000001</v>
      </c>
      <c r="E54" t="s">
        <v>5</v>
      </c>
      <c r="F54">
        <v>1563.540857</v>
      </c>
      <c r="G54" t="s">
        <v>6</v>
      </c>
      <c r="H54">
        <v>546.76582099999996</v>
      </c>
    </row>
    <row r="55" spans="1:8" x14ac:dyDescent="0.2">
      <c r="A55" t="s">
        <v>3</v>
      </c>
      <c r="B55">
        <v>22842.008644000001</v>
      </c>
      <c r="C55" t="s">
        <v>4</v>
      </c>
      <c r="D55">
        <v>14001.001335999999</v>
      </c>
      <c r="E55" t="s">
        <v>5</v>
      </c>
      <c r="F55">
        <v>1510.4021969999999</v>
      </c>
      <c r="G55" t="s">
        <v>6</v>
      </c>
      <c r="H55">
        <v>504.84956399999999</v>
      </c>
    </row>
    <row r="56" spans="1:8" x14ac:dyDescent="0.2">
      <c r="A56" t="s">
        <v>3</v>
      </c>
      <c r="B56">
        <v>22832.360548000001</v>
      </c>
      <c r="C56" t="s">
        <v>4</v>
      </c>
      <c r="D56">
        <v>14001.000088000001</v>
      </c>
      <c r="E56" t="s">
        <v>5</v>
      </c>
      <c r="F56">
        <v>1504.212045</v>
      </c>
      <c r="G56" t="s">
        <v>6</v>
      </c>
      <c r="H56">
        <v>583.244867</v>
      </c>
    </row>
    <row r="57" spans="1:8" x14ac:dyDescent="0.2">
      <c r="A57" t="s">
        <v>3</v>
      </c>
      <c r="B57">
        <v>22878.933976</v>
      </c>
      <c r="C57" t="s">
        <v>4</v>
      </c>
      <c r="D57">
        <v>14001.00238</v>
      </c>
      <c r="E57" t="s">
        <v>5</v>
      </c>
      <c r="F57">
        <v>1561.4366480000001</v>
      </c>
      <c r="G57" t="s">
        <v>6</v>
      </c>
      <c r="H57">
        <v>503.873378</v>
      </c>
    </row>
    <row r="58" spans="1:8" x14ac:dyDescent="0.2">
      <c r="A58" t="s">
        <v>3</v>
      </c>
      <c r="B58">
        <v>22831.522251999999</v>
      </c>
      <c r="C58" t="s">
        <v>4</v>
      </c>
      <c r="D58">
        <v>14001.001156</v>
      </c>
      <c r="E58" t="s">
        <v>5</v>
      </c>
      <c r="F58">
        <v>1556.052936</v>
      </c>
      <c r="G58" t="s">
        <v>6</v>
      </c>
      <c r="H58">
        <v>464.49926399999998</v>
      </c>
    </row>
    <row r="59" spans="1:8" x14ac:dyDescent="0.2">
      <c r="A59" t="s">
        <v>3</v>
      </c>
      <c r="B59">
        <v>22797.400775999999</v>
      </c>
      <c r="C59" t="s">
        <v>4</v>
      </c>
      <c r="D59">
        <v>14001.000716</v>
      </c>
      <c r="E59" t="s">
        <v>5</v>
      </c>
      <c r="F59">
        <v>2637.802768</v>
      </c>
      <c r="G59" t="s">
        <v>6</v>
      </c>
      <c r="H59">
        <v>951.23820899999998</v>
      </c>
    </row>
    <row r="60" spans="1:8" x14ac:dyDescent="0.2">
      <c r="A60" t="s">
        <v>3</v>
      </c>
      <c r="B60">
        <v>22819.160164000001</v>
      </c>
      <c r="C60" t="s">
        <v>4</v>
      </c>
      <c r="D60">
        <v>14001.00202</v>
      </c>
      <c r="E60" t="s">
        <v>5</v>
      </c>
      <c r="F60">
        <v>1563.8192979999999</v>
      </c>
      <c r="G60" t="s">
        <v>6</v>
      </c>
      <c r="H60">
        <v>542.37212699999998</v>
      </c>
    </row>
    <row r="61" spans="1:8" x14ac:dyDescent="0.2">
      <c r="D61">
        <f>SUM(D53:D60)</f>
        <v>112008.009888</v>
      </c>
      <c r="E61">
        <v>1012</v>
      </c>
    </row>
    <row r="62" spans="1:8" x14ac:dyDescent="0.2">
      <c r="E62">
        <f>D61/E61</f>
        <v>110.6798516679842</v>
      </c>
    </row>
    <row r="65" spans="1:8" x14ac:dyDescent="0.2">
      <c r="A65" t="s">
        <v>33</v>
      </c>
    </row>
    <row r="66" spans="1:8" x14ac:dyDescent="0.2">
      <c r="A66" t="s">
        <v>3</v>
      </c>
      <c r="B66">
        <v>22866.813804000001</v>
      </c>
      <c r="C66" t="s">
        <v>4</v>
      </c>
      <c r="D66">
        <v>14001.000808000001</v>
      </c>
      <c r="E66" t="s">
        <v>5</v>
      </c>
      <c r="F66">
        <v>1572.957099</v>
      </c>
      <c r="G66" t="s">
        <v>6</v>
      </c>
      <c r="H66">
        <v>4497.3278959999998</v>
      </c>
    </row>
    <row r="67" spans="1:8" x14ac:dyDescent="0.2">
      <c r="A67" t="s">
        <v>3</v>
      </c>
      <c r="B67">
        <v>22842.225864</v>
      </c>
      <c r="C67" t="s">
        <v>4</v>
      </c>
      <c r="D67">
        <v>14001.000980000001</v>
      </c>
      <c r="E67" t="s">
        <v>5</v>
      </c>
      <c r="F67">
        <v>1531.836591</v>
      </c>
      <c r="G67" t="s">
        <v>6</v>
      </c>
      <c r="H67">
        <v>1834.5870130000001</v>
      </c>
    </row>
    <row r="68" spans="1:8" x14ac:dyDescent="0.2">
      <c r="A68" t="s">
        <v>3</v>
      </c>
      <c r="B68">
        <v>22840.509731999999</v>
      </c>
      <c r="C68" t="s">
        <v>4</v>
      </c>
      <c r="D68">
        <v>14001.000956</v>
      </c>
      <c r="E68" t="s">
        <v>5</v>
      </c>
      <c r="F68">
        <v>1916.533199</v>
      </c>
      <c r="G68" t="s">
        <v>6</v>
      </c>
      <c r="H68">
        <v>3156.8008650000002</v>
      </c>
    </row>
    <row r="69" spans="1:8" x14ac:dyDescent="0.2">
      <c r="A69" t="s">
        <v>3</v>
      </c>
      <c r="B69">
        <v>22836.934116</v>
      </c>
      <c r="C69" t="s">
        <v>4</v>
      </c>
      <c r="D69">
        <v>14001.000384000001</v>
      </c>
      <c r="E69" t="s">
        <v>5</v>
      </c>
      <c r="F69">
        <v>1561.495144</v>
      </c>
      <c r="G69" t="s">
        <v>6</v>
      </c>
      <c r="H69">
        <v>1618.4009020000001</v>
      </c>
    </row>
    <row r="70" spans="1:8" x14ac:dyDescent="0.2">
      <c r="A70" t="s">
        <v>3</v>
      </c>
      <c r="B70">
        <v>22881.490192000001</v>
      </c>
      <c r="C70" t="s">
        <v>4</v>
      </c>
      <c r="D70">
        <v>14001.001976</v>
      </c>
      <c r="E70" t="s">
        <v>5</v>
      </c>
      <c r="F70">
        <v>1558.0885929999999</v>
      </c>
      <c r="G70" t="s">
        <v>6</v>
      </c>
      <c r="H70">
        <v>4787.618332</v>
      </c>
    </row>
    <row r="71" spans="1:8" x14ac:dyDescent="0.2">
      <c r="A71" t="s">
        <v>3</v>
      </c>
      <c r="B71">
        <v>22872.764668</v>
      </c>
      <c r="C71" t="s">
        <v>4</v>
      </c>
      <c r="D71">
        <v>14001.000404</v>
      </c>
      <c r="E71" t="s">
        <v>5</v>
      </c>
      <c r="F71">
        <v>1562.6406139999999</v>
      </c>
      <c r="G71" t="s">
        <v>6</v>
      </c>
      <c r="H71">
        <v>800.62445100000002</v>
      </c>
    </row>
    <row r="72" spans="1:8" x14ac:dyDescent="0.2">
      <c r="A72" t="s">
        <v>3</v>
      </c>
      <c r="B72">
        <v>22789.053816</v>
      </c>
      <c r="C72" t="s">
        <v>4</v>
      </c>
      <c r="D72">
        <v>14001.000316</v>
      </c>
      <c r="E72" t="s">
        <v>5</v>
      </c>
      <c r="F72">
        <v>3485.6973410000001</v>
      </c>
      <c r="G72" t="s">
        <v>6</v>
      </c>
      <c r="H72">
        <v>1181.340252</v>
      </c>
    </row>
    <row r="73" spans="1:8" x14ac:dyDescent="0.2">
      <c r="A73" t="s">
        <v>3</v>
      </c>
      <c r="B73">
        <v>22798.307636000001</v>
      </c>
      <c r="C73" t="s">
        <v>4</v>
      </c>
      <c r="D73">
        <v>14001.000228000001</v>
      </c>
      <c r="E73" t="s">
        <v>5</v>
      </c>
      <c r="F73">
        <v>4210.8708180000003</v>
      </c>
      <c r="G73" t="s">
        <v>6</v>
      </c>
      <c r="H73">
        <v>844.51660500000003</v>
      </c>
    </row>
    <row r="74" spans="1:8" x14ac:dyDescent="0.2">
      <c r="D74">
        <f>SUM(D66:D73)</f>
        <v>112008.00605200001</v>
      </c>
      <c r="E74">
        <v>357.82301999999999</v>
      </c>
    </row>
    <row r="75" spans="1:8" x14ac:dyDescent="0.2">
      <c r="E75">
        <f>D74/E74</f>
        <v>313.02627218338279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</vt:lpstr>
      <vt:lpstr>3K</vt:lpstr>
      <vt:lpstr>SF10K</vt:lpstr>
      <vt:lpstr>汇总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2023-07-24T15:43:31Z</dcterms:created>
  <dcterms:modified xsi:type="dcterms:W3CDTF">2023-07-24T21:27:32Z</dcterms:modified>
</cp:coreProperties>
</file>