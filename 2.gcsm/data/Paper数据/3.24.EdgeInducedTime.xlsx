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ihuawei/workspace/STMatch2Latex/data/Paper数据/"/>
    </mc:Choice>
  </mc:AlternateContent>
  <xr:revisionPtr revIDLastSave="0" documentId="13_ncr:1_{C8B8236D-4021-0741-9B85-31F14EB64042}" xr6:coauthVersionLast="47" xr6:coauthVersionMax="47" xr10:uidLastSave="{00000000-0000-0000-0000-000000000000}"/>
  <bookViews>
    <workbookView xWindow="0" yWindow="1980" windowWidth="28720" windowHeight="15440" activeTab="1" xr2:uid="{213CBA97-36A2-6249-B80E-1EEDCDC6B830}"/>
  </bookViews>
  <sheets>
    <sheet name="2048" sheetId="1" r:id="rId1"/>
    <sheet name="4096" sheetId="2" r:id="rId2"/>
    <sheet name="8192" sheetId="3" r:id="rId3"/>
    <sheet name="Sheet4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6" i="2" l="1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55" i="2"/>
  <c r="E26" i="2"/>
  <c r="H26" i="2" s="1"/>
  <c r="I26" i="2" s="1"/>
  <c r="E25" i="2"/>
  <c r="H25" i="2" s="1"/>
  <c r="I25" i="2" s="1"/>
  <c r="E24" i="2"/>
  <c r="H24" i="2" s="1"/>
  <c r="I24" i="2" s="1"/>
  <c r="E23" i="2"/>
  <c r="H23" i="2" s="1"/>
  <c r="I23" i="2" s="1"/>
  <c r="E22" i="2"/>
  <c r="H22" i="2" s="1"/>
  <c r="I22" i="2" s="1"/>
  <c r="E21" i="2"/>
  <c r="H21" i="2" s="1"/>
  <c r="I21" i="2" s="1"/>
  <c r="E20" i="2"/>
  <c r="H20" i="2" s="1"/>
  <c r="I20" i="2" s="1"/>
  <c r="E19" i="2"/>
  <c r="H19" i="2" s="1"/>
  <c r="I19" i="2" s="1"/>
  <c r="E18" i="2"/>
  <c r="H18" i="2" s="1"/>
  <c r="I18" i="2" s="1"/>
  <c r="E17" i="2"/>
  <c r="H17" i="2" s="1"/>
  <c r="I17" i="2" s="1"/>
  <c r="E16" i="2"/>
  <c r="H16" i="2" s="1"/>
  <c r="I16" i="2" s="1"/>
  <c r="E15" i="2"/>
  <c r="H15" i="2" s="1"/>
  <c r="I15" i="2" s="1"/>
  <c r="E14" i="2"/>
  <c r="H14" i="2" s="1"/>
  <c r="I14" i="2" s="1"/>
  <c r="E13" i="2"/>
  <c r="H13" i="2" s="1"/>
  <c r="I13" i="2" s="1"/>
  <c r="E12" i="2"/>
  <c r="H12" i="2" s="1"/>
  <c r="I12" i="2" s="1"/>
  <c r="E11" i="2"/>
  <c r="H11" i="2" s="1"/>
  <c r="I11" i="2" s="1"/>
  <c r="E10" i="2"/>
  <c r="H10" i="2" s="1"/>
  <c r="I10" i="2" s="1"/>
  <c r="E9" i="2"/>
  <c r="H9" i="2" s="1"/>
  <c r="I9" i="2" s="1"/>
  <c r="E8" i="2"/>
  <c r="H8" i="2" s="1"/>
  <c r="I8" i="2" s="1"/>
  <c r="E7" i="2"/>
  <c r="H7" i="2" s="1"/>
  <c r="I7" i="2" s="1"/>
  <c r="E6" i="2"/>
  <c r="H6" i="2" s="1"/>
  <c r="I6" i="2" s="1"/>
  <c r="E5" i="2"/>
  <c r="H5" i="2" s="1"/>
  <c r="I5" i="2" s="1"/>
  <c r="E4" i="2"/>
  <c r="H4" i="2" s="1"/>
  <c r="I4" i="2" s="1"/>
  <c r="E3" i="2"/>
  <c r="H3" i="2" s="1"/>
  <c r="I3" i="2" s="1"/>
  <c r="E31" i="2"/>
  <c r="F31" i="2" s="1"/>
  <c r="G31" i="2" s="1"/>
  <c r="E32" i="2"/>
  <c r="F32" i="2" s="1"/>
  <c r="G32" i="2" s="1"/>
  <c r="E33" i="2"/>
  <c r="F33" i="2" s="1"/>
  <c r="G33" i="2" s="1"/>
  <c r="E34" i="2"/>
  <c r="F34" i="2" s="1"/>
  <c r="G34" i="2" s="1"/>
  <c r="E35" i="2"/>
  <c r="F35" i="2" s="1"/>
  <c r="G35" i="2" s="1"/>
  <c r="E36" i="2"/>
  <c r="F36" i="2" s="1"/>
  <c r="G36" i="2" s="1"/>
  <c r="E37" i="2"/>
  <c r="F37" i="2" s="1"/>
  <c r="G37" i="2" s="1"/>
  <c r="E38" i="2"/>
  <c r="F38" i="2" s="1"/>
  <c r="G38" i="2" s="1"/>
  <c r="E39" i="2"/>
  <c r="F39" i="2" s="1"/>
  <c r="G39" i="2" s="1"/>
  <c r="E40" i="2"/>
  <c r="F40" i="2" s="1"/>
  <c r="G40" i="2" s="1"/>
  <c r="E41" i="2"/>
  <c r="F41" i="2" s="1"/>
  <c r="G41" i="2" s="1"/>
  <c r="E42" i="2"/>
  <c r="F42" i="2" s="1"/>
  <c r="G42" i="2" s="1"/>
  <c r="E43" i="2"/>
  <c r="F43" i="2" s="1"/>
  <c r="G43" i="2" s="1"/>
  <c r="E44" i="2"/>
  <c r="F44" i="2" s="1"/>
  <c r="G44" i="2" s="1"/>
  <c r="E45" i="2"/>
  <c r="F45" i="2" s="1"/>
  <c r="G45" i="2" s="1"/>
  <c r="E46" i="2"/>
  <c r="F46" i="2" s="1"/>
  <c r="G46" i="2" s="1"/>
  <c r="E47" i="2"/>
  <c r="F47" i="2" s="1"/>
  <c r="G47" i="2" s="1"/>
  <c r="E48" i="2"/>
  <c r="F48" i="2" s="1"/>
  <c r="G48" i="2" s="1"/>
  <c r="E49" i="2"/>
  <c r="F49" i="2" s="1"/>
  <c r="G49" i="2" s="1"/>
  <c r="E50" i="2"/>
  <c r="F50" i="2" s="1"/>
  <c r="G50" i="2" s="1"/>
  <c r="E51" i="2"/>
  <c r="F51" i="2" s="1"/>
  <c r="G51" i="2" s="1"/>
  <c r="E52" i="2"/>
  <c r="F52" i="2" s="1"/>
  <c r="G52" i="2" s="1"/>
  <c r="E53" i="2"/>
  <c r="F53" i="2" s="1"/>
  <c r="G53" i="2" s="1"/>
  <c r="E30" i="2"/>
  <c r="F30" i="2" s="1"/>
  <c r="G30" i="2" s="1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3" i="2"/>
</calcChain>
</file>

<file path=xl/sharedStrings.xml><?xml version="1.0" encoding="utf-8"?>
<sst xmlns="http://schemas.openxmlformats.org/spreadsheetml/2006/main" count="178" uniqueCount="36">
  <si>
    <t>com-Friendster</t>
  </si>
  <si>
    <t xml:space="preserve"> 5_12.txt </t>
  </si>
  <si>
    <t xml:space="preserve"> 5_14.txt </t>
  </si>
  <si>
    <t xml:space="preserve"> 5_15.txt </t>
  </si>
  <si>
    <t xml:space="preserve"> 5_16.txt </t>
  </si>
  <si>
    <t xml:space="preserve"> 5_17.txt </t>
  </si>
  <si>
    <t xml:space="preserve"> 5_18.txt </t>
  </si>
  <si>
    <t xml:space="preserve"> 5_19.txt </t>
  </si>
  <si>
    <t xml:space="preserve"> 5_20.txt </t>
  </si>
  <si>
    <t xml:space="preserve"> 6_28.txt </t>
  </si>
  <si>
    <t xml:space="preserve"> 6_47.txt </t>
  </si>
  <si>
    <t xml:space="preserve"> 6_50.txt </t>
  </si>
  <si>
    <t xml:space="preserve"> 6_53.txt </t>
  </si>
  <si>
    <t xml:space="preserve"> 6_62.txt </t>
  </si>
  <si>
    <t xml:space="preserve"> 6_107.txt </t>
  </si>
  <si>
    <t xml:space="preserve"> 6_110.txt </t>
  </si>
  <si>
    <t xml:space="preserve"> 6_111.txt </t>
  </si>
  <si>
    <t xml:space="preserve"> 7_830.txt </t>
  </si>
  <si>
    <t xml:space="preserve"> 7_845.txt </t>
  </si>
  <si>
    <t xml:space="preserve"> 7_846.txt </t>
  </si>
  <si>
    <t xml:space="preserve"> 7_847.txt </t>
  </si>
  <si>
    <t xml:space="preserve"> 7_848.txt </t>
  </si>
  <si>
    <t xml:space="preserve"> 7_850.txt </t>
  </si>
  <si>
    <t xml:space="preserve"> 7_851.txt </t>
  </si>
  <si>
    <t xml:space="preserve"> 7_852.txt </t>
  </si>
  <si>
    <t xml:space="preserve"> datagen-sf10k-fb </t>
  </si>
  <si>
    <t xml:space="preserve">CPU Exact </t>
  </si>
  <si>
    <t xml:space="preserve">CPU 3%  </t>
  </si>
  <si>
    <t xml:space="preserve">DataTransfer </t>
  </si>
  <si>
    <t xml:space="preserve">GPU 100% Zero Copy </t>
  </si>
  <si>
    <t>GPU Partial Zero Copy</t>
  </si>
  <si>
    <t>GPU 100% UM</t>
  </si>
  <si>
    <t>datagen-sf3k-fb</t>
  </si>
  <si>
    <t>graph500-28</t>
  </si>
  <si>
    <t>twitter_mpi</t>
  </si>
  <si>
    <t>75g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</si>
</sst>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1F945-3084-6140-B154-364E0A86B195}">
  <dimension ref="A1:AI26"/>
  <sheetViews>
    <sheetView topLeftCell="O1" workbookViewId="0">
      <selection activeCell="F12" sqref="F12"/>
    </sheetView>
  </sheetViews>
  <sheetFormatPr baseColWidth="10" defaultRowHeight="16" x14ac:dyDescent="0.2"/>
  <cols>
    <col min="2" max="2" width="17.6640625" customWidth="1"/>
    <col min="3" max="3" width="12.6640625" customWidth="1"/>
    <col min="4" max="4" width="16.1640625" customWidth="1"/>
    <col min="5" max="5" width="20" customWidth="1"/>
    <col min="6" max="7" width="21.5" customWidth="1"/>
    <col min="8" max="8" width="21.5" style="2" customWidth="1"/>
    <col min="9" max="9" width="15.83203125" customWidth="1"/>
    <col min="10" max="10" width="15.5" customWidth="1"/>
    <col min="11" max="11" width="17.6640625" customWidth="1"/>
    <col min="12" max="12" width="23.5" customWidth="1"/>
    <col min="13" max="13" width="17.5" customWidth="1"/>
    <col min="14" max="14" width="19.6640625" customWidth="1"/>
    <col min="15" max="15" width="19.6640625" style="2" customWidth="1"/>
    <col min="16" max="16" width="10.33203125" customWidth="1"/>
    <col min="18" max="18" width="16" customWidth="1"/>
    <col min="19" max="19" width="21.6640625" customWidth="1"/>
    <col min="20" max="20" width="14.83203125" customWidth="1"/>
    <col min="21" max="21" width="20.5" customWidth="1"/>
    <col min="22" max="22" width="20.5" style="2" customWidth="1"/>
    <col min="25" max="25" width="17.83203125" customWidth="1"/>
    <col min="26" max="26" width="24.1640625" customWidth="1"/>
    <col min="27" max="27" width="15.6640625" customWidth="1"/>
    <col min="28" max="28" width="21.33203125" customWidth="1"/>
    <col min="29" max="29" width="21.33203125" style="2" customWidth="1"/>
    <col min="31" max="31" width="11" customWidth="1"/>
    <col min="32" max="32" width="15.5" customWidth="1"/>
    <col min="33" max="33" width="20.6640625" customWidth="1"/>
    <col min="34" max="34" width="15" customWidth="1"/>
    <col min="35" max="35" width="22.5" customWidth="1"/>
  </cols>
  <sheetData>
    <row r="1" spans="1:35" x14ac:dyDescent="0.2">
      <c r="B1" s="3" t="s">
        <v>0</v>
      </c>
      <c r="C1" s="3"/>
      <c r="D1" s="3"/>
      <c r="E1" s="3"/>
      <c r="F1" s="3"/>
      <c r="G1" s="3"/>
      <c r="H1" s="1"/>
      <c r="I1" s="3" t="s">
        <v>25</v>
      </c>
      <c r="J1" s="3"/>
      <c r="K1" s="3"/>
      <c r="L1" s="3"/>
      <c r="M1" s="3"/>
      <c r="N1" s="3"/>
      <c r="O1" s="1"/>
      <c r="P1" s="3" t="s">
        <v>32</v>
      </c>
      <c r="Q1" s="3"/>
      <c r="R1" s="3"/>
      <c r="S1" s="3"/>
      <c r="T1" s="3"/>
      <c r="U1" s="3"/>
      <c r="V1" s="1"/>
      <c r="W1" s="3" t="s">
        <v>33</v>
      </c>
      <c r="X1" s="3"/>
      <c r="Y1" s="3"/>
      <c r="Z1" s="3"/>
      <c r="AA1" s="3"/>
      <c r="AB1" s="3"/>
      <c r="AC1" s="1"/>
      <c r="AD1" s="3" t="s">
        <v>34</v>
      </c>
      <c r="AE1" s="3"/>
      <c r="AF1" s="3"/>
      <c r="AG1" s="3"/>
      <c r="AH1" s="3"/>
      <c r="AI1" s="3"/>
    </row>
    <row r="2" spans="1:35" x14ac:dyDescent="0.2">
      <c r="B2" t="s">
        <v>26</v>
      </c>
      <c r="C2" t="s">
        <v>27</v>
      </c>
      <c r="D2" t="s">
        <v>28</v>
      </c>
      <c r="E2" t="s">
        <v>30</v>
      </c>
      <c r="F2" t="s">
        <v>29</v>
      </c>
      <c r="G2" t="s">
        <v>31</v>
      </c>
      <c r="I2" t="s">
        <v>26</v>
      </c>
      <c r="J2" t="s">
        <v>27</v>
      </c>
      <c r="K2" t="s">
        <v>28</v>
      </c>
      <c r="L2" t="s">
        <v>30</v>
      </c>
      <c r="M2" t="s">
        <v>29</v>
      </c>
      <c r="N2" t="s">
        <v>31</v>
      </c>
      <c r="P2" t="s">
        <v>26</v>
      </c>
      <c r="Q2" t="s">
        <v>27</v>
      </c>
      <c r="R2" t="s">
        <v>28</v>
      </c>
      <c r="S2" t="s">
        <v>30</v>
      </c>
      <c r="T2" t="s">
        <v>29</v>
      </c>
      <c r="U2" t="s">
        <v>31</v>
      </c>
      <c r="W2" t="s">
        <v>26</v>
      </c>
      <c r="X2" t="s">
        <v>27</v>
      </c>
      <c r="Y2" t="s">
        <v>28</v>
      </c>
      <c r="Z2" t="s">
        <v>30</v>
      </c>
      <c r="AA2" t="s">
        <v>29</v>
      </c>
      <c r="AB2" t="s">
        <v>31</v>
      </c>
      <c r="AD2" t="s">
        <v>26</v>
      </c>
      <c r="AE2" t="s">
        <v>27</v>
      </c>
      <c r="AF2" t="s">
        <v>28</v>
      </c>
      <c r="AG2" t="s">
        <v>30</v>
      </c>
      <c r="AH2" t="s">
        <v>29</v>
      </c>
      <c r="AI2" t="s">
        <v>31</v>
      </c>
    </row>
    <row r="3" spans="1:35" x14ac:dyDescent="0.2">
      <c r="A3" t="s">
        <v>1</v>
      </c>
      <c r="B3">
        <v>5954.0606550000002</v>
      </c>
      <c r="C3">
        <v>258.73408799999999</v>
      </c>
      <c r="D3">
        <v>2.8579999999999999E-3</v>
      </c>
      <c r="E3">
        <v>475.56097349999993</v>
      </c>
      <c r="F3">
        <v>1036.3890005999999</v>
      </c>
      <c r="I3">
        <v>4364.7337939999998</v>
      </c>
      <c r="J3">
        <v>154.63494700000001</v>
      </c>
      <c r="K3">
        <v>8.6540000000000002E-3</v>
      </c>
      <c r="L3">
        <v>1537.9508055000001</v>
      </c>
      <c r="M3">
        <v>2115.4056156000001</v>
      </c>
      <c r="W3">
        <v>326767.27228799998</v>
      </c>
      <c r="X3">
        <v>10595.944626</v>
      </c>
      <c r="Y3">
        <v>2.7949999999999999E-2</v>
      </c>
    </row>
    <row r="4" spans="1:35" x14ac:dyDescent="0.2">
      <c r="A4" t="s">
        <v>2</v>
      </c>
      <c r="B4">
        <v>6093.6856049999997</v>
      </c>
      <c r="C4">
        <v>593.16003799999999</v>
      </c>
      <c r="D4">
        <v>7.8609999999999999E-3</v>
      </c>
      <c r="E4">
        <v>1810.3112190000002</v>
      </c>
      <c r="F4">
        <v>4343.6135736000006</v>
      </c>
      <c r="I4">
        <v>6904.9309599999997</v>
      </c>
      <c r="J4">
        <v>440.92884099999998</v>
      </c>
      <c r="K4">
        <v>1.7496000000000001E-2</v>
      </c>
      <c r="L4">
        <v>2970.0525509999998</v>
      </c>
      <c r="M4">
        <v>9386.1202140000005</v>
      </c>
      <c r="W4">
        <v>392005.07605700003</v>
      </c>
      <c r="X4">
        <v>23663.762277000002</v>
      </c>
      <c r="Y4">
        <v>3.5305999999999997E-2</v>
      </c>
    </row>
    <row r="5" spans="1:35" x14ac:dyDescent="0.2">
      <c r="A5" t="s">
        <v>3</v>
      </c>
      <c r="B5">
        <v>727.16045299999996</v>
      </c>
      <c r="C5">
        <v>88.099622999999994</v>
      </c>
      <c r="D5">
        <v>3.5100000000000002E-4</v>
      </c>
      <c r="E5">
        <v>36.636574499999995</v>
      </c>
      <c r="F5">
        <v>47.643031799999996</v>
      </c>
      <c r="I5">
        <v>860.18185400000004</v>
      </c>
      <c r="J5">
        <v>46.406587000000002</v>
      </c>
      <c r="K5">
        <v>1.3940000000000001E-3</v>
      </c>
      <c r="L5">
        <v>27.499007999999996</v>
      </c>
      <c r="M5">
        <v>65.370699000000002</v>
      </c>
      <c r="W5">
        <v>22858.073124999999</v>
      </c>
      <c r="X5">
        <v>1206.8265389999999</v>
      </c>
      <c r="Y5">
        <v>6.8900000000000005E-4</v>
      </c>
    </row>
    <row r="6" spans="1:35" x14ac:dyDescent="0.2">
      <c r="A6" t="s">
        <v>4</v>
      </c>
      <c r="B6">
        <v>907.41752499999996</v>
      </c>
      <c r="C6">
        <v>318.42604499999999</v>
      </c>
      <c r="D6">
        <v>6.5570000000000003E-3</v>
      </c>
      <c r="E6">
        <v>125.47277100000001</v>
      </c>
      <c r="F6">
        <v>185.25819419999999</v>
      </c>
      <c r="I6">
        <v>916.19782199999997</v>
      </c>
      <c r="J6">
        <v>292.14964199999997</v>
      </c>
      <c r="K6">
        <v>1.1450999999999999E-2</v>
      </c>
      <c r="L6">
        <v>120.58982850000001</v>
      </c>
      <c r="M6">
        <v>374.85895320000003</v>
      </c>
      <c r="W6">
        <v>104975.742748</v>
      </c>
      <c r="X6">
        <v>12176.345875000001</v>
      </c>
      <c r="Y6">
        <v>2.3386000000000001E-2</v>
      </c>
    </row>
    <row r="7" spans="1:35" x14ac:dyDescent="0.2">
      <c r="A7" t="s">
        <v>5</v>
      </c>
      <c r="B7">
        <v>134.091376</v>
      </c>
      <c r="C7">
        <v>32.813147000000001</v>
      </c>
      <c r="D7">
        <v>1.74E-4</v>
      </c>
      <c r="E7">
        <v>86.642686499999996</v>
      </c>
      <c r="F7">
        <v>147.0394368</v>
      </c>
      <c r="I7">
        <v>203.673958</v>
      </c>
      <c r="J7">
        <v>26.649049000000002</v>
      </c>
      <c r="K7">
        <v>5.8699999999999996E-4</v>
      </c>
      <c r="L7">
        <v>64.224769500000008</v>
      </c>
      <c r="M7">
        <v>216.26265600000002</v>
      </c>
      <c r="W7">
        <v>3152.9145309999999</v>
      </c>
      <c r="X7">
        <v>519.23172299999999</v>
      </c>
      <c r="Y7">
        <v>4.0999999999999999E-4</v>
      </c>
    </row>
    <row r="8" spans="1:35" x14ac:dyDescent="0.2">
      <c r="A8" t="s">
        <v>6</v>
      </c>
      <c r="B8">
        <v>197.192093</v>
      </c>
      <c r="C8">
        <v>95.672775999999999</v>
      </c>
      <c r="D8">
        <v>2.13E-4</v>
      </c>
      <c r="E8">
        <v>72.016897499999999</v>
      </c>
      <c r="F8">
        <v>104.30110259999999</v>
      </c>
      <c r="I8">
        <v>334.32038399999999</v>
      </c>
      <c r="J8">
        <v>23.026063000000001</v>
      </c>
      <c r="K8">
        <v>7.5000000000000002E-4</v>
      </c>
      <c r="L8">
        <v>75.085825499999999</v>
      </c>
      <c r="M8">
        <v>174.5783424</v>
      </c>
      <c r="W8">
        <v>8978.9632939999992</v>
      </c>
      <c r="X8">
        <v>746.98368700000003</v>
      </c>
      <c r="Y8">
        <v>6.0099999999999997E-4</v>
      </c>
    </row>
    <row r="9" spans="1:35" x14ac:dyDescent="0.2">
      <c r="A9" t="s">
        <v>7</v>
      </c>
      <c r="B9">
        <v>80.481515999999999</v>
      </c>
      <c r="C9">
        <v>20.368344</v>
      </c>
      <c r="D9">
        <v>8.2999999999999998E-5</v>
      </c>
      <c r="E9">
        <v>22.09872</v>
      </c>
      <c r="F9">
        <v>27.732787200000001</v>
      </c>
      <c r="I9">
        <v>88.111949999999993</v>
      </c>
      <c r="J9">
        <v>16.037972</v>
      </c>
      <c r="K9">
        <v>2.3800000000000001E-4</v>
      </c>
      <c r="L9">
        <v>13.99296</v>
      </c>
      <c r="M9">
        <v>29.924351999999999</v>
      </c>
      <c r="W9">
        <v>1817.761921</v>
      </c>
      <c r="X9">
        <v>387.98291999999998</v>
      </c>
      <c r="Y9">
        <v>1.25E-4</v>
      </c>
    </row>
    <row r="10" spans="1:35" x14ac:dyDescent="0.2">
      <c r="A10" t="s">
        <v>8</v>
      </c>
      <c r="B10">
        <v>99.138512000000006</v>
      </c>
      <c r="C10">
        <v>20.238295000000001</v>
      </c>
      <c r="D10">
        <v>2.5999999999999998E-5</v>
      </c>
      <c r="E10">
        <v>19.739135999999998</v>
      </c>
      <c r="F10">
        <v>26.295091199999998</v>
      </c>
      <c r="I10">
        <v>131.21891500000001</v>
      </c>
      <c r="J10">
        <v>53.750518</v>
      </c>
      <c r="K10">
        <v>8.5000000000000006E-5</v>
      </c>
      <c r="L10">
        <v>12.8256</v>
      </c>
      <c r="M10">
        <v>18.321407999999998</v>
      </c>
      <c r="W10">
        <v>862.43908099999999</v>
      </c>
      <c r="X10">
        <v>167.34896699999999</v>
      </c>
      <c r="Y10">
        <v>7.3999999999999996E-5</v>
      </c>
    </row>
    <row r="11" spans="1:35" ht="15" customHeight="1" x14ac:dyDescent="0.2">
      <c r="A11" t="s">
        <v>9</v>
      </c>
      <c r="B11">
        <v>51845.449611999997</v>
      </c>
      <c r="C11">
        <v>413.78276899999997</v>
      </c>
      <c r="D11">
        <v>7.986E-3</v>
      </c>
      <c r="E11">
        <v>31369.092773999997</v>
      </c>
      <c r="F11">
        <v>37514.703515399997</v>
      </c>
      <c r="I11">
        <v>44265.879911000004</v>
      </c>
      <c r="J11">
        <v>307.51387299999999</v>
      </c>
      <c r="K11">
        <v>1.8520999999999999E-2</v>
      </c>
      <c r="L11">
        <v>38984.337890999996</v>
      </c>
      <c r="M11">
        <v>46881.506249999999</v>
      </c>
    </row>
    <row r="12" spans="1:35" x14ac:dyDescent="0.2">
      <c r="A12" t="s">
        <v>10</v>
      </c>
      <c r="B12">
        <v>1185.3690329999999</v>
      </c>
      <c r="C12">
        <v>49.810481000000003</v>
      </c>
      <c r="D12">
        <v>2.5000000000000001E-4</v>
      </c>
      <c r="E12">
        <v>140.07091199999999</v>
      </c>
      <c r="F12">
        <v>221.5950354</v>
      </c>
      <c r="I12">
        <v>297.80749700000001</v>
      </c>
      <c r="J12">
        <v>33.718969999999999</v>
      </c>
      <c r="K12">
        <v>8.7399999999999999E-4</v>
      </c>
      <c r="L12">
        <v>28.273152</v>
      </c>
      <c r="M12">
        <v>34.567372800000001</v>
      </c>
      <c r="W12">
        <v>34725.184974000003</v>
      </c>
      <c r="X12">
        <v>1012.691976</v>
      </c>
      <c r="Y12">
        <v>7.3700000000000002E-4</v>
      </c>
    </row>
    <row r="13" spans="1:35" x14ac:dyDescent="0.2">
      <c r="A13" t="s">
        <v>11</v>
      </c>
      <c r="B13">
        <v>9199.2717310000007</v>
      </c>
      <c r="C13">
        <v>267.42752400000001</v>
      </c>
      <c r="D13">
        <v>6.5789999999999998E-3</v>
      </c>
      <c r="E13">
        <v>565.50604199999998</v>
      </c>
      <c r="F13">
        <v>654.4318356</v>
      </c>
      <c r="I13">
        <v>5911.8292160000001</v>
      </c>
      <c r="J13">
        <v>312.33113200000003</v>
      </c>
      <c r="K13">
        <v>1.1568999999999999E-2</v>
      </c>
      <c r="L13">
        <v>305.525757</v>
      </c>
      <c r="M13">
        <v>386.9042814</v>
      </c>
      <c r="W13">
        <v>1555782.151148</v>
      </c>
      <c r="X13">
        <v>11112.158062</v>
      </c>
      <c r="Y13">
        <v>2.3390000000000001E-2</v>
      </c>
    </row>
    <row r="14" spans="1:35" x14ac:dyDescent="0.2">
      <c r="A14" t="s">
        <v>12</v>
      </c>
      <c r="B14">
        <v>5435.3210490000001</v>
      </c>
      <c r="C14">
        <v>327.739058</v>
      </c>
      <c r="D14">
        <v>6.5669999999999999E-3</v>
      </c>
      <c r="E14">
        <v>10391.964843</v>
      </c>
      <c r="F14">
        <v>16345.886133599999</v>
      </c>
      <c r="I14">
        <v>3162.8396929999999</v>
      </c>
      <c r="J14">
        <v>328.30503399999998</v>
      </c>
      <c r="K14">
        <v>1.1471E-2</v>
      </c>
      <c r="L14">
        <v>1526.8960875</v>
      </c>
      <c r="M14">
        <v>3791.3150394000004</v>
      </c>
      <c r="W14">
        <v>814722.27659300005</v>
      </c>
      <c r="X14">
        <v>13523.618177</v>
      </c>
      <c r="Y14">
        <v>2.3390000000000001E-2</v>
      </c>
    </row>
    <row r="15" spans="1:35" x14ac:dyDescent="0.2">
      <c r="A15" t="s">
        <v>13</v>
      </c>
      <c r="B15">
        <v>79169.237156000003</v>
      </c>
      <c r="C15">
        <v>328.04578500000002</v>
      </c>
      <c r="D15">
        <v>5.5199999999999997E-4</v>
      </c>
      <c r="E15">
        <v>976.69482449999987</v>
      </c>
      <c r="F15">
        <v>1215.9808596</v>
      </c>
      <c r="I15">
        <v>8742.5843600000007</v>
      </c>
      <c r="J15">
        <v>102.457503</v>
      </c>
      <c r="K15">
        <v>2.457E-3</v>
      </c>
      <c r="L15">
        <v>213.4963305</v>
      </c>
      <c r="M15">
        <v>446.0267394</v>
      </c>
      <c r="W15">
        <v>3980794.9493320002</v>
      </c>
      <c r="X15">
        <v>6007.3261709999997</v>
      </c>
      <c r="Y15">
        <v>1.776E-3</v>
      </c>
    </row>
    <row r="16" spans="1:35" x14ac:dyDescent="0.2">
      <c r="A16" t="s">
        <v>14</v>
      </c>
      <c r="B16">
        <v>342.549757</v>
      </c>
      <c r="C16">
        <v>45.445005000000002</v>
      </c>
      <c r="D16">
        <v>1.25E-4</v>
      </c>
      <c r="E16">
        <v>343.36511999999999</v>
      </c>
      <c r="F16">
        <v>618.44891940000002</v>
      </c>
      <c r="I16">
        <v>146.43963199999999</v>
      </c>
      <c r="J16">
        <v>33.173841000000003</v>
      </c>
      <c r="K16">
        <v>3.6299999999999999E-4</v>
      </c>
      <c r="L16">
        <v>65.726979</v>
      </c>
      <c r="M16">
        <v>163.74251340000001</v>
      </c>
      <c r="W16">
        <v>31362.446075</v>
      </c>
      <c r="X16">
        <v>757.91554499999995</v>
      </c>
      <c r="Y16">
        <v>1.6200000000000001E-4</v>
      </c>
    </row>
    <row r="17" spans="1:25" x14ac:dyDescent="0.2">
      <c r="A17" t="s">
        <v>15</v>
      </c>
      <c r="B17">
        <v>126.766446</v>
      </c>
      <c r="C17">
        <v>28.237278</v>
      </c>
      <c r="D17">
        <v>8.1000000000000004E-5</v>
      </c>
      <c r="E17">
        <v>39.942143999999999</v>
      </c>
      <c r="F17">
        <v>50.253006600000006</v>
      </c>
      <c r="I17">
        <v>165.35275999999999</v>
      </c>
      <c r="J17">
        <v>22.555436</v>
      </c>
      <c r="K17">
        <v>2.34E-4</v>
      </c>
      <c r="L17">
        <v>22.030896000000002</v>
      </c>
      <c r="M17">
        <v>48.673382400000001</v>
      </c>
      <c r="W17">
        <v>33588.655580999999</v>
      </c>
      <c r="X17">
        <v>745.89792299999999</v>
      </c>
      <c r="Y17">
        <v>1.25E-4</v>
      </c>
    </row>
    <row r="18" spans="1:25" x14ac:dyDescent="0.2">
      <c r="A18" t="s">
        <v>16</v>
      </c>
      <c r="B18">
        <v>46.899393000000003</v>
      </c>
      <c r="C18">
        <v>4.9446370000000002</v>
      </c>
      <c r="D18">
        <v>2.5999999999999998E-5</v>
      </c>
      <c r="E18">
        <v>27.8123535</v>
      </c>
      <c r="F18">
        <v>37.684224</v>
      </c>
      <c r="I18">
        <v>45.553069999999998</v>
      </c>
      <c r="J18">
        <v>6.1102800000000004</v>
      </c>
      <c r="K18">
        <v>8.5000000000000006E-5</v>
      </c>
      <c r="L18">
        <v>15.126528</v>
      </c>
      <c r="M18">
        <v>27.155865599999998</v>
      </c>
      <c r="W18">
        <v>14395.561358000001</v>
      </c>
      <c r="X18">
        <v>343.07746700000001</v>
      </c>
      <c r="Y18">
        <v>7.3999999999999996E-5</v>
      </c>
    </row>
    <row r="19" spans="1:25" x14ac:dyDescent="0.2">
      <c r="A19" t="s">
        <v>17</v>
      </c>
      <c r="B19">
        <v>2584.2062000000001</v>
      </c>
      <c r="C19">
        <v>58.759751000000001</v>
      </c>
      <c r="D19">
        <v>1.08E-4</v>
      </c>
      <c r="E19">
        <v>8718.6950684999993</v>
      </c>
      <c r="F19">
        <v>12810.2950188</v>
      </c>
      <c r="I19">
        <v>263.67144999999999</v>
      </c>
      <c r="J19">
        <v>49.343772000000001</v>
      </c>
      <c r="K19">
        <v>3.0400000000000002E-4</v>
      </c>
      <c r="L19">
        <v>82.113023999999996</v>
      </c>
      <c r="M19">
        <v>214.29227159999999</v>
      </c>
      <c r="W19">
        <v>572885.60224799998</v>
      </c>
      <c r="X19">
        <v>1353.0272199999999</v>
      </c>
      <c r="Y19">
        <v>1.56E-4</v>
      </c>
    </row>
    <row r="20" spans="1:25" x14ac:dyDescent="0.2">
      <c r="A20" t="s">
        <v>18</v>
      </c>
      <c r="B20">
        <v>50552.197590999996</v>
      </c>
      <c r="C20">
        <v>89.351470000000006</v>
      </c>
      <c r="D20">
        <v>1.9799999999999999E-4</v>
      </c>
      <c r="E20">
        <v>11155.1689455</v>
      </c>
      <c r="F20">
        <v>23261.980078799999</v>
      </c>
      <c r="I20">
        <v>1049.650821</v>
      </c>
      <c r="J20">
        <v>110.165667</v>
      </c>
      <c r="K20">
        <v>5.5000000000000003E-4</v>
      </c>
      <c r="L20">
        <v>2169.0102539999998</v>
      </c>
      <c r="M20">
        <v>3378.6336186000003</v>
      </c>
    </row>
    <row r="21" spans="1:25" x14ac:dyDescent="0.2">
      <c r="A21" t="s">
        <v>19</v>
      </c>
      <c r="B21">
        <v>30529.150113</v>
      </c>
      <c r="C21">
        <v>95.862476000000001</v>
      </c>
      <c r="D21">
        <v>2.41E-4</v>
      </c>
      <c r="E21">
        <v>12878.169433499999</v>
      </c>
      <c r="F21">
        <v>20602.951171200002</v>
      </c>
      <c r="I21">
        <v>942.771613</v>
      </c>
      <c r="J21">
        <v>77.026235</v>
      </c>
      <c r="K21">
        <v>8.6600000000000002E-4</v>
      </c>
      <c r="L21">
        <v>159.67641449999999</v>
      </c>
      <c r="M21">
        <v>452.4668982</v>
      </c>
    </row>
    <row r="22" spans="1:25" x14ac:dyDescent="0.2">
      <c r="A22" t="s">
        <v>20</v>
      </c>
      <c r="B22">
        <v>43144.150736000003</v>
      </c>
      <c r="C22">
        <v>114.889884</v>
      </c>
      <c r="D22">
        <v>1.4999999999999999E-4</v>
      </c>
      <c r="E22">
        <v>918.32675100000006</v>
      </c>
      <c r="F22">
        <v>1788.2892342</v>
      </c>
      <c r="I22">
        <v>486.51050600000002</v>
      </c>
      <c r="J22">
        <v>85.884906000000001</v>
      </c>
      <c r="K22">
        <v>4.2400000000000001E-4</v>
      </c>
      <c r="L22">
        <v>184.27084350000001</v>
      </c>
      <c r="M22">
        <v>805.75120260000006</v>
      </c>
    </row>
    <row r="23" spans="1:25" x14ac:dyDescent="0.2">
      <c r="A23" t="s">
        <v>21</v>
      </c>
      <c r="B23">
        <v>1424.157526</v>
      </c>
      <c r="C23">
        <v>56.663758999999999</v>
      </c>
      <c r="D23">
        <v>1.21E-4</v>
      </c>
      <c r="E23">
        <v>2045.0165400000001</v>
      </c>
      <c r="F23">
        <v>4309.6521978000001</v>
      </c>
      <c r="I23">
        <v>230.434943</v>
      </c>
      <c r="J23">
        <v>43.857911000000001</v>
      </c>
      <c r="K23">
        <v>3.6000000000000002E-4</v>
      </c>
      <c r="L23">
        <v>82.550782499999997</v>
      </c>
      <c r="M23">
        <v>222.92766180000001</v>
      </c>
      <c r="W23">
        <v>516471.65785199997</v>
      </c>
      <c r="X23">
        <v>1215.122404</v>
      </c>
      <c r="Y23">
        <v>1.46E-4</v>
      </c>
    </row>
    <row r="24" spans="1:25" x14ac:dyDescent="0.2">
      <c r="A24" t="s">
        <v>22</v>
      </c>
      <c r="B24">
        <v>4929.9870719999999</v>
      </c>
      <c r="C24">
        <v>64.893612000000005</v>
      </c>
      <c r="D24">
        <v>1.0399999999999999E-4</v>
      </c>
      <c r="E24">
        <v>1051.3919685000001</v>
      </c>
      <c r="F24">
        <v>1743.1271856000001</v>
      </c>
      <c r="I24">
        <v>293.02254399999998</v>
      </c>
      <c r="J24">
        <v>42.911971999999999</v>
      </c>
      <c r="K24">
        <v>2.9999999999999997E-4</v>
      </c>
      <c r="L24">
        <v>69.785088000000002</v>
      </c>
      <c r="M24">
        <v>224.01135360000001</v>
      </c>
      <c r="W24">
        <v>4422681.3963850001</v>
      </c>
      <c r="X24">
        <v>1542.993526</v>
      </c>
      <c r="Y24">
        <v>1.36E-4</v>
      </c>
    </row>
    <row r="25" spans="1:25" x14ac:dyDescent="0.2">
      <c r="A25" t="s">
        <v>23</v>
      </c>
      <c r="B25">
        <v>383.12856499999998</v>
      </c>
      <c r="C25">
        <v>42.153255000000001</v>
      </c>
      <c r="D25">
        <v>8.1000000000000004E-5</v>
      </c>
      <c r="E25">
        <v>91.132416000000006</v>
      </c>
      <c r="F25">
        <v>140.83891740000001</v>
      </c>
      <c r="I25">
        <v>186.98924299999999</v>
      </c>
      <c r="J25">
        <v>28.711334999999998</v>
      </c>
      <c r="K25">
        <v>2.34E-4</v>
      </c>
      <c r="L25">
        <v>22.663679999999999</v>
      </c>
      <c r="M25">
        <v>53.157888</v>
      </c>
      <c r="W25">
        <v>544044.66573699994</v>
      </c>
      <c r="X25">
        <v>1100.0601590000001</v>
      </c>
      <c r="Y25">
        <v>1.25E-4</v>
      </c>
    </row>
    <row r="26" spans="1:25" x14ac:dyDescent="0.2">
      <c r="A26" t="s">
        <v>24</v>
      </c>
      <c r="B26">
        <v>100.17967299999999</v>
      </c>
      <c r="C26">
        <v>7.3824350000000001</v>
      </c>
      <c r="D26">
        <v>2.5999999999999998E-5</v>
      </c>
      <c r="E26">
        <v>55.2852465</v>
      </c>
      <c r="F26">
        <v>90.020043000000001</v>
      </c>
      <c r="I26">
        <v>65.227476999999993</v>
      </c>
      <c r="J26">
        <v>8.9983140000000006</v>
      </c>
      <c r="K26">
        <v>8.5000000000000006E-5</v>
      </c>
      <c r="L26">
        <v>17.424384</v>
      </c>
      <c r="M26">
        <v>31.9647726</v>
      </c>
      <c r="W26">
        <v>219161.947981</v>
      </c>
      <c r="X26">
        <v>519.75785099999996</v>
      </c>
      <c r="Y26">
        <v>7.3999999999999996E-5</v>
      </c>
    </row>
  </sheetData>
  <mergeCells count="5">
    <mergeCell ref="W1:AB1"/>
    <mergeCell ref="AD1:AI1"/>
    <mergeCell ref="B1:G1"/>
    <mergeCell ref="I1:N1"/>
    <mergeCell ref="P1:U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097198-410F-624F-BAA1-FD01CA283D2F}">
  <dimension ref="A1:AJ78"/>
  <sheetViews>
    <sheetView tabSelected="1" workbookViewId="0">
      <selection activeCell="D3" sqref="D3:D26"/>
    </sheetView>
  </sheetViews>
  <sheetFormatPr baseColWidth="10" defaultRowHeight="16" x14ac:dyDescent="0.2"/>
  <cols>
    <col min="2" max="2" width="23.6640625" customWidth="1"/>
    <col min="3" max="3" width="12.6640625" customWidth="1"/>
    <col min="4" max="4" width="16.1640625" customWidth="1"/>
    <col min="5" max="6" width="20" customWidth="1"/>
    <col min="7" max="7" width="21.5" customWidth="1"/>
    <col min="8" max="8" width="21.5" style="2" customWidth="1"/>
    <col min="9" max="9" width="15.83203125" customWidth="1"/>
    <col min="10" max="10" width="15.5" customWidth="1"/>
    <col min="11" max="11" width="17.6640625" customWidth="1"/>
    <col min="12" max="12" width="23.5" customWidth="1"/>
    <col min="13" max="13" width="17.5" customWidth="1"/>
    <col min="14" max="14" width="19.6640625" customWidth="1"/>
    <col min="15" max="15" width="19.6640625" style="2" customWidth="1"/>
    <col min="16" max="16" width="10.33203125" customWidth="1"/>
    <col min="18" max="18" width="16" customWidth="1"/>
    <col min="19" max="19" width="21.6640625" customWidth="1"/>
    <col min="20" max="20" width="14.83203125" customWidth="1"/>
    <col min="21" max="21" width="20.5" customWidth="1"/>
    <col min="22" max="22" width="20.5" style="2" customWidth="1"/>
    <col min="25" max="25" width="17.83203125" customWidth="1"/>
    <col min="26" max="26" width="24.1640625" customWidth="1"/>
    <col min="27" max="27" width="15.6640625" customWidth="1"/>
    <col min="28" max="28" width="21.33203125" customWidth="1"/>
    <col min="29" max="29" width="21.33203125" style="2" customWidth="1"/>
    <col min="31" max="31" width="11" customWidth="1"/>
    <col min="32" max="32" width="15.5" customWidth="1"/>
    <col min="33" max="33" width="20.6640625" customWidth="1"/>
    <col min="34" max="34" width="15" customWidth="1"/>
    <col min="35" max="35" width="22.5" customWidth="1"/>
  </cols>
  <sheetData>
    <row r="1" spans="1:36" x14ac:dyDescent="0.2">
      <c r="B1" s="3" t="s">
        <v>0</v>
      </c>
      <c r="C1" s="3"/>
      <c r="D1" s="3"/>
      <c r="E1" s="3"/>
      <c r="F1" s="3"/>
      <c r="G1" s="3"/>
      <c r="H1" s="1"/>
      <c r="I1" s="3" t="s">
        <v>25</v>
      </c>
      <c r="J1" s="3"/>
      <c r="K1" s="3"/>
      <c r="L1" s="3"/>
      <c r="M1" s="3"/>
      <c r="N1" s="3"/>
      <c r="O1" s="1"/>
      <c r="P1" s="3" t="s">
        <v>32</v>
      </c>
      <c r="Q1" s="3"/>
      <c r="R1" s="3"/>
      <c r="S1" s="3"/>
      <c r="T1" s="3"/>
      <c r="U1" s="3"/>
      <c r="V1" s="1"/>
      <c r="W1" s="3" t="s">
        <v>33</v>
      </c>
      <c r="X1" s="3"/>
      <c r="Y1" s="3"/>
      <c r="Z1" s="3"/>
      <c r="AA1" s="3"/>
      <c r="AB1" s="3"/>
      <c r="AC1" s="1"/>
      <c r="AD1" s="3" t="s">
        <v>34</v>
      </c>
      <c r="AE1" s="3"/>
      <c r="AF1" s="3"/>
      <c r="AG1" s="3"/>
      <c r="AH1" s="3"/>
      <c r="AI1" s="3"/>
    </row>
    <row r="2" spans="1:36" x14ac:dyDescent="0.2">
      <c r="B2" t="s">
        <v>26</v>
      </c>
      <c r="C2" t="s">
        <v>27</v>
      </c>
      <c r="E2" t="s">
        <v>28</v>
      </c>
      <c r="F2" t="s">
        <v>30</v>
      </c>
      <c r="G2" t="s">
        <v>29</v>
      </c>
      <c r="H2" t="s">
        <v>31</v>
      </c>
      <c r="I2" s="2"/>
      <c r="J2" t="s">
        <v>26</v>
      </c>
      <c r="K2" t="s">
        <v>27</v>
      </c>
      <c r="L2" t="s">
        <v>28</v>
      </c>
      <c r="M2" t="s">
        <v>30</v>
      </c>
      <c r="N2" t="s">
        <v>29</v>
      </c>
      <c r="O2" t="s">
        <v>31</v>
      </c>
      <c r="P2" s="2"/>
      <c r="Q2" t="s">
        <v>26</v>
      </c>
      <c r="R2" t="s">
        <v>27</v>
      </c>
      <c r="S2" t="s">
        <v>28</v>
      </c>
      <c r="T2" t="s">
        <v>30</v>
      </c>
      <c r="U2" t="s">
        <v>29</v>
      </c>
      <c r="V2" t="s">
        <v>31</v>
      </c>
      <c r="W2" s="2"/>
      <c r="X2" t="s">
        <v>26</v>
      </c>
      <c r="Y2" t="s">
        <v>27</v>
      </c>
      <c r="Z2" t="s">
        <v>28</v>
      </c>
      <c r="AA2" t="s">
        <v>30</v>
      </c>
      <c r="AB2" t="s">
        <v>29</v>
      </c>
      <c r="AC2" t="s">
        <v>31</v>
      </c>
      <c r="AD2" s="2"/>
      <c r="AE2" t="s">
        <v>26</v>
      </c>
      <c r="AF2" t="s">
        <v>27</v>
      </c>
      <c r="AG2" t="s">
        <v>28</v>
      </c>
      <c r="AH2" t="s">
        <v>30</v>
      </c>
      <c r="AI2" t="s">
        <v>29</v>
      </c>
      <c r="AJ2" t="s">
        <v>31</v>
      </c>
    </row>
    <row r="3" spans="1:36" x14ac:dyDescent="0.2">
      <c r="A3" t="s">
        <v>1</v>
      </c>
      <c r="B3">
        <v>9878.7004479999996</v>
      </c>
      <c r="C3">
        <v>451.994348</v>
      </c>
      <c r="D3">
        <v>156.96568099999999</v>
      </c>
      <c r="E3">
        <f>C3/100*35</f>
        <v>158.19802180000002</v>
      </c>
      <c r="F3">
        <v>570.69772349999994</v>
      </c>
      <c r="G3">
        <v>1976.3582526</v>
      </c>
      <c r="H3">
        <f>C3+E3+F3</f>
        <v>1180.8900933</v>
      </c>
      <c r="I3" s="2">
        <f>G3/H3</f>
        <v>1.6736174380776305</v>
      </c>
      <c r="J3">
        <v>5998.9889119999998</v>
      </c>
      <c r="K3">
        <v>240.95504600000001</v>
      </c>
      <c r="L3">
        <v>1.7045999999999999E-2</v>
      </c>
      <c r="M3">
        <v>2983.0594485000001</v>
      </c>
      <c r="N3">
        <f>K3+M3</f>
        <v>3224.0144945000002</v>
      </c>
      <c r="O3"/>
      <c r="P3" s="2"/>
      <c r="V3"/>
      <c r="W3" s="2"/>
      <c r="AC3"/>
      <c r="AD3" s="2"/>
    </row>
    <row r="4" spans="1:36" x14ac:dyDescent="0.2">
      <c r="A4" t="s">
        <v>2</v>
      </c>
      <c r="B4">
        <v>8814.9632290000009</v>
      </c>
      <c r="C4">
        <v>971.08184200000005</v>
      </c>
      <c r="D4">
        <v>478.910595</v>
      </c>
      <c r="E4">
        <f>C4/100*35</f>
        <v>339.87864470000005</v>
      </c>
      <c r="F4">
        <v>3572.7652590000002</v>
      </c>
      <c r="G4">
        <v>8650.8667962</v>
      </c>
      <c r="H4">
        <f>C4+E4+F4</f>
        <v>4883.7257457000005</v>
      </c>
      <c r="I4" s="2">
        <f t="shared" ref="I4:I26" si="0">G4/H4</f>
        <v>1.7713662164213202</v>
      </c>
      <c r="J4">
        <v>15411.835105</v>
      </c>
      <c r="K4">
        <v>1038.2493910000001</v>
      </c>
      <c r="L4">
        <v>3.4792999999999998E-2</v>
      </c>
      <c r="M4">
        <v>5311.8966060000002</v>
      </c>
      <c r="N4">
        <f t="shared" ref="N4:N26" si="1">K4+M4</f>
        <v>6350.1459970000005</v>
      </c>
      <c r="O4"/>
      <c r="P4" s="2"/>
      <c r="V4"/>
      <c r="W4" s="2"/>
      <c r="AC4"/>
      <c r="AD4" s="2"/>
    </row>
    <row r="5" spans="1:36" x14ac:dyDescent="0.2">
      <c r="A5" t="s">
        <v>3</v>
      </c>
      <c r="B5">
        <v>1210.321823</v>
      </c>
      <c r="C5">
        <v>92.463753999999994</v>
      </c>
      <c r="D5">
        <v>46.206620999999998</v>
      </c>
      <c r="E5">
        <f>C5/100*35</f>
        <v>32.362313899999997</v>
      </c>
      <c r="F5">
        <v>80.434176000000008</v>
      </c>
      <c r="G5">
        <v>111.86933759999999</v>
      </c>
      <c r="H5">
        <f>C5+E5+F5</f>
        <v>205.26024390000001</v>
      </c>
      <c r="I5" s="2">
        <f t="shared" si="0"/>
        <v>0.54501220243361503</v>
      </c>
      <c r="J5">
        <v>1063.0079499999999</v>
      </c>
      <c r="K5">
        <v>88.249270999999993</v>
      </c>
      <c r="L5">
        <v>2.7590000000000002E-3</v>
      </c>
      <c r="M5">
        <v>41.556481500000004</v>
      </c>
      <c r="N5">
        <f t="shared" si="1"/>
        <v>129.80575249999998</v>
      </c>
      <c r="O5"/>
      <c r="P5" s="2"/>
      <c r="V5"/>
      <c r="W5" s="2"/>
      <c r="AC5"/>
      <c r="AD5" s="2"/>
    </row>
    <row r="6" spans="1:36" x14ac:dyDescent="0.2">
      <c r="A6" t="s">
        <v>4</v>
      </c>
      <c r="B6">
        <v>2153.8788159999999</v>
      </c>
      <c r="C6">
        <v>484.229176</v>
      </c>
      <c r="D6">
        <v>295.16261800000001</v>
      </c>
      <c r="E6">
        <f>C6/100*35</f>
        <v>169.48021160000002</v>
      </c>
      <c r="F6">
        <v>266.4099885</v>
      </c>
      <c r="G6">
        <v>349.75807740000005</v>
      </c>
      <c r="H6">
        <f>C6+E6+F6</f>
        <v>920.11937609999995</v>
      </c>
      <c r="I6" s="2">
        <f t="shared" si="0"/>
        <v>0.38012249984613716</v>
      </c>
      <c r="J6">
        <v>2482.932358</v>
      </c>
      <c r="K6">
        <v>522.78918799999997</v>
      </c>
      <c r="L6">
        <v>2.2443000000000001E-2</v>
      </c>
      <c r="M6">
        <v>230.54285399999998</v>
      </c>
      <c r="N6">
        <f t="shared" si="1"/>
        <v>753.332042</v>
      </c>
      <c r="O6"/>
      <c r="P6" s="2"/>
      <c r="V6"/>
      <c r="W6" s="2"/>
      <c r="AC6"/>
      <c r="AD6" s="2"/>
    </row>
    <row r="7" spans="1:36" x14ac:dyDescent="0.2">
      <c r="A7" t="s">
        <v>5</v>
      </c>
      <c r="B7">
        <v>244.69008500000001</v>
      </c>
      <c r="C7">
        <v>94.584913</v>
      </c>
      <c r="D7">
        <v>30.233815</v>
      </c>
      <c r="E7">
        <f>C7/100*35</f>
        <v>33.104719549999999</v>
      </c>
      <c r="F7">
        <v>133.18655849999999</v>
      </c>
      <c r="G7">
        <v>246.08194019999999</v>
      </c>
      <c r="H7">
        <f>C7+E7+F7</f>
        <v>260.87619104999999</v>
      </c>
      <c r="I7" s="2">
        <f t="shared" si="0"/>
        <v>0.94329014545001344</v>
      </c>
      <c r="J7">
        <v>506.45743199999998</v>
      </c>
      <c r="K7">
        <v>46.030186999999998</v>
      </c>
      <c r="L7">
        <v>1.1299999999999999E-3</v>
      </c>
      <c r="M7">
        <v>117.02016449999999</v>
      </c>
      <c r="N7">
        <f t="shared" si="1"/>
        <v>163.05035149999998</v>
      </c>
      <c r="O7"/>
      <c r="P7" s="2"/>
      <c r="V7"/>
      <c r="W7" s="2"/>
      <c r="AC7"/>
      <c r="AD7" s="2"/>
    </row>
    <row r="8" spans="1:36" x14ac:dyDescent="0.2">
      <c r="A8" t="s">
        <v>6</v>
      </c>
      <c r="B8">
        <v>324.15747699999997</v>
      </c>
      <c r="C8">
        <v>48.384670999999997</v>
      </c>
      <c r="D8">
        <v>91.787046000000004</v>
      </c>
      <c r="E8">
        <f>C8/100*35</f>
        <v>16.934634849999998</v>
      </c>
      <c r="F8">
        <v>79.884286500000002</v>
      </c>
      <c r="G8">
        <v>154.01778660000002</v>
      </c>
      <c r="H8">
        <f>C8+E8+F8</f>
        <v>145.20359235000001</v>
      </c>
      <c r="I8" s="2">
        <f t="shared" si="0"/>
        <v>1.060702315330837</v>
      </c>
      <c r="J8">
        <v>628.847668</v>
      </c>
      <c r="K8">
        <v>40.507981999999998</v>
      </c>
      <c r="L8">
        <v>1.467E-3</v>
      </c>
      <c r="M8">
        <v>146.294781</v>
      </c>
      <c r="N8">
        <f t="shared" si="1"/>
        <v>186.802763</v>
      </c>
      <c r="O8"/>
      <c r="P8" s="2"/>
      <c r="V8"/>
      <c r="W8" s="2"/>
      <c r="AC8"/>
      <c r="AD8" s="2"/>
    </row>
    <row r="9" spans="1:36" x14ac:dyDescent="0.2">
      <c r="A9" t="s">
        <v>7</v>
      </c>
      <c r="B9">
        <v>83.020876000000001</v>
      </c>
      <c r="C9">
        <v>23.904945999999999</v>
      </c>
      <c r="D9">
        <v>23.183002999999999</v>
      </c>
      <c r="E9">
        <f>C9/100*35</f>
        <v>8.3667310999999991</v>
      </c>
      <c r="F9">
        <v>31.045632000000001</v>
      </c>
      <c r="G9">
        <v>37.9934802</v>
      </c>
      <c r="H9">
        <f>C9+E9+F9</f>
        <v>63.317309100000003</v>
      </c>
      <c r="I9" s="2">
        <f t="shared" si="0"/>
        <v>0.60004887668228468</v>
      </c>
      <c r="J9">
        <v>162.31023099999999</v>
      </c>
      <c r="K9">
        <v>28.499115</v>
      </c>
      <c r="L9">
        <v>4.6900000000000002E-4</v>
      </c>
      <c r="M9">
        <v>27.127296000000001</v>
      </c>
      <c r="N9">
        <f t="shared" si="1"/>
        <v>55.626411000000004</v>
      </c>
      <c r="O9"/>
      <c r="P9" s="2"/>
      <c r="V9"/>
      <c r="W9" s="2"/>
      <c r="AC9"/>
      <c r="AD9" s="2"/>
    </row>
    <row r="10" spans="1:36" x14ac:dyDescent="0.2">
      <c r="A10" t="s">
        <v>8</v>
      </c>
      <c r="B10">
        <v>43.779451000000002</v>
      </c>
      <c r="C10">
        <v>8.7570200000000007</v>
      </c>
      <c r="D10">
        <v>3.1510899999999999</v>
      </c>
      <c r="E10">
        <f>C10/100*35</f>
        <v>3.0649570000000002</v>
      </c>
      <c r="F10">
        <v>30.9166095</v>
      </c>
      <c r="G10">
        <v>40.926124800000004</v>
      </c>
      <c r="H10">
        <f>C10+E10+F10</f>
        <v>42.738586499999997</v>
      </c>
      <c r="I10" s="2">
        <f t="shared" si="0"/>
        <v>0.95759191287245793</v>
      </c>
      <c r="J10">
        <v>218.34718000000001</v>
      </c>
      <c r="K10">
        <v>144.18256500000001</v>
      </c>
      <c r="L10">
        <v>1.6799999999999999E-4</v>
      </c>
      <c r="M10">
        <v>26.477567999999998</v>
      </c>
      <c r="N10">
        <f t="shared" si="1"/>
        <v>170.660133</v>
      </c>
      <c r="O10"/>
      <c r="P10" s="2"/>
      <c r="V10"/>
      <c r="W10" s="2"/>
      <c r="AC10"/>
      <c r="AD10" s="2"/>
    </row>
    <row r="11" spans="1:36" x14ac:dyDescent="0.2">
      <c r="A11" t="s">
        <v>9</v>
      </c>
      <c r="B11">
        <v>110765.622135</v>
      </c>
      <c r="C11">
        <v>1877.377127</v>
      </c>
      <c r="D11">
        <v>438.15685200000001</v>
      </c>
      <c r="E11">
        <f>C11/100*35</f>
        <v>657.08199445000002</v>
      </c>
      <c r="F11">
        <v>51264.691406999991</v>
      </c>
      <c r="G11">
        <v>62996.688280800001</v>
      </c>
      <c r="H11">
        <f>C11+E11+F11</f>
        <v>53799.150528449994</v>
      </c>
      <c r="I11" s="2">
        <f t="shared" si="0"/>
        <v>1.1709606501590797</v>
      </c>
      <c r="J11">
        <v>90302.524860000005</v>
      </c>
      <c r="K11">
        <v>935.89238699999999</v>
      </c>
      <c r="L11">
        <v>3.6262000000000003E-2</v>
      </c>
      <c r="M11">
        <v>73950.169921499997</v>
      </c>
      <c r="N11">
        <f t="shared" si="1"/>
        <v>74886.062308499997</v>
      </c>
      <c r="O11"/>
      <c r="P11" s="2"/>
      <c r="V11"/>
      <c r="W11" s="2"/>
      <c r="AC11"/>
      <c r="AD11" s="2"/>
    </row>
    <row r="12" spans="1:36" x14ac:dyDescent="0.2">
      <c r="A12" t="s">
        <v>10</v>
      </c>
      <c r="B12">
        <v>2368.6235999999999</v>
      </c>
      <c r="C12">
        <v>64.402214000000001</v>
      </c>
      <c r="D12">
        <v>41.413666999999997</v>
      </c>
      <c r="E12">
        <f>C12/100*35</f>
        <v>22.540774900000002</v>
      </c>
      <c r="F12">
        <v>410.60966550000001</v>
      </c>
      <c r="G12">
        <v>480.31578360000003</v>
      </c>
      <c r="H12">
        <f>C12+E12+F12</f>
        <v>497.55265439999999</v>
      </c>
      <c r="I12" s="2">
        <f t="shared" si="0"/>
        <v>0.96535669009587344</v>
      </c>
      <c r="J12">
        <v>512.682233</v>
      </c>
      <c r="K12">
        <v>59.062282000000003</v>
      </c>
      <c r="L12">
        <v>1.699E-3</v>
      </c>
      <c r="M12">
        <v>36.7994865</v>
      </c>
      <c r="N12">
        <f t="shared" si="1"/>
        <v>95.861768500000011</v>
      </c>
      <c r="O12"/>
      <c r="P12" s="2"/>
      <c r="V12"/>
      <c r="W12" s="2"/>
      <c r="AC12"/>
      <c r="AD12" s="2"/>
    </row>
    <row r="13" spans="1:36" x14ac:dyDescent="0.2">
      <c r="A13" t="s">
        <v>11</v>
      </c>
      <c r="B13">
        <v>15425.483764000001</v>
      </c>
      <c r="C13">
        <v>475.698892</v>
      </c>
      <c r="D13">
        <v>220.11784599999999</v>
      </c>
      <c r="E13">
        <f>C13/100*35</f>
        <v>166.49461220000001</v>
      </c>
      <c r="F13">
        <v>869.22857700000009</v>
      </c>
      <c r="G13">
        <v>911.37947400000007</v>
      </c>
      <c r="H13">
        <f>C13+E13+F13</f>
        <v>1511.4220812000001</v>
      </c>
      <c r="I13" s="2">
        <f t="shared" si="0"/>
        <v>0.60299467986891286</v>
      </c>
      <c r="J13">
        <v>10200.335759</v>
      </c>
      <c r="K13">
        <v>434.01290299999999</v>
      </c>
      <c r="L13">
        <v>2.2665999999999999E-2</v>
      </c>
      <c r="M13">
        <v>526.7742915</v>
      </c>
      <c r="N13">
        <f t="shared" si="1"/>
        <v>960.78719449999994</v>
      </c>
      <c r="O13"/>
      <c r="P13" s="2"/>
      <c r="V13"/>
      <c r="W13" s="2"/>
      <c r="AC13"/>
      <c r="AD13" s="2"/>
    </row>
    <row r="14" spans="1:36" x14ac:dyDescent="0.2">
      <c r="A14" t="s">
        <v>12</v>
      </c>
      <c r="B14">
        <v>14848.761681</v>
      </c>
      <c r="C14">
        <v>595.27661599999999</v>
      </c>
      <c r="D14">
        <v>276.37106</v>
      </c>
      <c r="E14">
        <f>C14/100*35</f>
        <v>208.34681559999999</v>
      </c>
      <c r="F14">
        <v>24577.564453499996</v>
      </c>
      <c r="G14">
        <v>36086.115234600002</v>
      </c>
      <c r="H14">
        <f>C14+E14+F14</f>
        <v>25381.187885099996</v>
      </c>
      <c r="I14" s="2">
        <f t="shared" si="0"/>
        <v>1.4217662072382484</v>
      </c>
      <c r="J14">
        <v>5901.7347730000001</v>
      </c>
      <c r="K14">
        <v>605.937546</v>
      </c>
      <c r="L14">
        <v>2.248E-2</v>
      </c>
      <c r="M14">
        <v>2428.3500359999998</v>
      </c>
      <c r="N14">
        <f t="shared" si="1"/>
        <v>3034.2875819999999</v>
      </c>
      <c r="O14"/>
      <c r="P14" s="2"/>
      <c r="V14"/>
      <c r="W14" s="2"/>
      <c r="AC14"/>
      <c r="AD14" s="2"/>
    </row>
    <row r="15" spans="1:36" x14ac:dyDescent="0.2">
      <c r="A15" t="s">
        <v>13</v>
      </c>
      <c r="B15">
        <v>109163.42315800001</v>
      </c>
      <c r="C15">
        <v>539.63381900000002</v>
      </c>
      <c r="D15">
        <v>159.53893199999999</v>
      </c>
      <c r="E15">
        <f>C15/100*35</f>
        <v>188.87183665000001</v>
      </c>
      <c r="F15">
        <v>3099.6049800000001</v>
      </c>
      <c r="G15">
        <v>3116.3759028000004</v>
      </c>
      <c r="H15">
        <f>C15+E15+F15</f>
        <v>3828.1106356499999</v>
      </c>
      <c r="I15" s="2">
        <f t="shared" si="0"/>
        <v>0.81407675989773232</v>
      </c>
      <c r="J15">
        <v>19472.503496000001</v>
      </c>
      <c r="K15">
        <v>204.00550699999999</v>
      </c>
      <c r="L15">
        <v>4.7990000000000003E-3</v>
      </c>
      <c r="M15">
        <v>355.07375400000001</v>
      </c>
      <c r="N15">
        <f t="shared" si="1"/>
        <v>559.07926099999997</v>
      </c>
      <c r="O15"/>
      <c r="P15" s="2"/>
      <c r="V15"/>
      <c r="W15" s="2"/>
      <c r="AC15"/>
      <c r="AD15" s="2"/>
    </row>
    <row r="16" spans="1:36" x14ac:dyDescent="0.2">
      <c r="A16" t="s">
        <v>14</v>
      </c>
      <c r="B16">
        <v>1098.8960729999999</v>
      </c>
      <c r="C16">
        <v>156.833279</v>
      </c>
      <c r="D16">
        <v>37.386654999999998</v>
      </c>
      <c r="E16">
        <f>C16/100*35</f>
        <v>54.891647650000003</v>
      </c>
      <c r="F16">
        <v>547.35974099999999</v>
      </c>
      <c r="G16">
        <v>939.6357048000001</v>
      </c>
      <c r="H16">
        <f>C16+E16+F16</f>
        <v>759.08466765000003</v>
      </c>
      <c r="I16" s="2">
        <f t="shared" si="0"/>
        <v>1.2378536214003057</v>
      </c>
      <c r="J16">
        <v>288.14840700000002</v>
      </c>
      <c r="K16">
        <v>60.575713999999998</v>
      </c>
      <c r="L16">
        <v>7.1299999999999998E-4</v>
      </c>
      <c r="M16">
        <v>113.336826</v>
      </c>
      <c r="N16">
        <f t="shared" si="1"/>
        <v>173.91254000000001</v>
      </c>
      <c r="O16"/>
      <c r="P16" s="2"/>
      <c r="V16"/>
      <c r="W16" s="2"/>
      <c r="AC16"/>
      <c r="AD16" s="2"/>
    </row>
    <row r="17" spans="1:30" x14ac:dyDescent="0.2">
      <c r="A17" t="s">
        <v>15</v>
      </c>
      <c r="B17">
        <v>269.10863499999999</v>
      </c>
      <c r="C17">
        <v>39.548502999999997</v>
      </c>
      <c r="D17">
        <v>26.072631999999999</v>
      </c>
      <c r="E17">
        <f>C17/100*35</f>
        <v>13.841976049999998</v>
      </c>
      <c r="F17">
        <v>49.881596999999999</v>
      </c>
      <c r="G17">
        <v>66.187470599999997</v>
      </c>
      <c r="H17">
        <f>C17+E17+F17</f>
        <v>103.27207605</v>
      </c>
      <c r="I17" s="2">
        <f t="shared" si="0"/>
        <v>0.64090384479106244</v>
      </c>
      <c r="J17">
        <v>147.39460199999999</v>
      </c>
      <c r="K17">
        <v>36.739232999999999</v>
      </c>
      <c r="L17">
        <v>4.5899999999999999E-4</v>
      </c>
      <c r="M17">
        <v>41.258497500000004</v>
      </c>
      <c r="N17">
        <f t="shared" si="1"/>
        <v>77.997730500000003</v>
      </c>
      <c r="O17"/>
      <c r="P17" s="2"/>
      <c r="V17"/>
      <c r="W17" s="2"/>
      <c r="AC17"/>
      <c r="AD17" s="2"/>
    </row>
    <row r="18" spans="1:30" x14ac:dyDescent="0.2">
      <c r="A18" t="s">
        <v>16</v>
      </c>
      <c r="B18">
        <v>76.964596999999998</v>
      </c>
      <c r="C18">
        <v>13.705807</v>
      </c>
      <c r="D18">
        <v>4.9859749999999998</v>
      </c>
      <c r="E18">
        <f>C18/100*35</f>
        <v>4.7970324500000006</v>
      </c>
      <c r="F18">
        <v>44.865022500000002</v>
      </c>
      <c r="G18">
        <v>63.116695799999995</v>
      </c>
      <c r="H18">
        <f>C18+E18+F18</f>
        <v>63.367861950000005</v>
      </c>
      <c r="I18" s="2">
        <f t="shared" si="0"/>
        <v>0.99603637960519809</v>
      </c>
      <c r="J18">
        <v>136.65441999999999</v>
      </c>
      <c r="K18">
        <v>10.726629000000001</v>
      </c>
      <c r="L18">
        <v>1.6799999999999999E-4</v>
      </c>
      <c r="M18">
        <v>30.991870499999997</v>
      </c>
      <c r="N18">
        <f t="shared" si="1"/>
        <v>41.7184995</v>
      </c>
      <c r="O18"/>
      <c r="P18" s="2"/>
      <c r="V18"/>
      <c r="W18" s="2"/>
      <c r="AC18"/>
      <c r="AD18" s="2"/>
    </row>
    <row r="19" spans="1:30" x14ac:dyDescent="0.2">
      <c r="A19" t="s">
        <v>17</v>
      </c>
      <c r="B19">
        <v>7269.6726129999997</v>
      </c>
      <c r="C19">
        <v>93.621167</v>
      </c>
      <c r="D19">
        <v>54.525399999999998</v>
      </c>
      <c r="E19">
        <f>C19/100*35</f>
        <v>32.767408450000005</v>
      </c>
      <c r="F19">
        <v>18796.73877</v>
      </c>
      <c r="G19">
        <v>29821.830469199998</v>
      </c>
      <c r="H19">
        <f>C19+E19+F19</f>
        <v>18923.127345450001</v>
      </c>
      <c r="I19" s="2">
        <f t="shared" si="0"/>
        <v>1.5759461913873636</v>
      </c>
      <c r="J19">
        <v>356.11780599999997</v>
      </c>
      <c r="K19">
        <v>86.263097999999999</v>
      </c>
      <c r="L19">
        <v>5.9299999999999999E-4</v>
      </c>
      <c r="M19">
        <v>126.9102285</v>
      </c>
      <c r="N19">
        <f t="shared" si="1"/>
        <v>213.1733265</v>
      </c>
      <c r="O19"/>
      <c r="P19" s="2"/>
      <c r="V19"/>
      <c r="W19" s="2"/>
      <c r="AC19"/>
      <c r="AD19" s="2"/>
    </row>
    <row r="20" spans="1:30" x14ac:dyDescent="0.2">
      <c r="A20" t="s">
        <v>18</v>
      </c>
      <c r="B20">
        <v>264579.43538799998</v>
      </c>
      <c r="C20">
        <v>307.648304</v>
      </c>
      <c r="D20">
        <v>73.789822999999998</v>
      </c>
      <c r="E20">
        <f>C20/100*35</f>
        <v>107.67690639999999</v>
      </c>
      <c r="F20">
        <v>26320.040038500003</v>
      </c>
      <c r="G20">
        <v>56455.214061600003</v>
      </c>
      <c r="H20">
        <f>C20+E20+F20</f>
        <v>26735.365248900001</v>
      </c>
      <c r="I20" s="2">
        <f t="shared" si="0"/>
        <v>2.1116305513695122</v>
      </c>
      <c r="J20">
        <v>1313.268963</v>
      </c>
      <c r="K20">
        <v>161.315383</v>
      </c>
      <c r="L20">
        <v>1.0859999999999999E-3</v>
      </c>
      <c r="M20">
        <v>4293.0552975000001</v>
      </c>
      <c r="N20">
        <f t="shared" si="1"/>
        <v>4454.3706805000002</v>
      </c>
      <c r="O20"/>
      <c r="P20" s="2"/>
      <c r="V20"/>
      <c r="W20" s="2"/>
      <c r="AC20"/>
      <c r="AD20" s="2"/>
    </row>
    <row r="21" spans="1:30" x14ac:dyDescent="0.2">
      <c r="A21" t="s">
        <v>19</v>
      </c>
      <c r="B21">
        <v>132678.957949</v>
      </c>
      <c r="C21">
        <v>239.858171</v>
      </c>
      <c r="D21">
        <v>70.648805999999993</v>
      </c>
      <c r="E21">
        <f>C21/100*35</f>
        <v>83.950359850000012</v>
      </c>
      <c r="F21">
        <v>22690.608398999997</v>
      </c>
      <c r="G21">
        <v>44642.629688400004</v>
      </c>
      <c r="H21">
        <f>C21+E21+F21</f>
        <v>23014.416929849998</v>
      </c>
      <c r="I21" s="2">
        <f t="shared" si="0"/>
        <v>1.9397680082217479</v>
      </c>
      <c r="J21">
        <v>1545.2109330000001</v>
      </c>
      <c r="K21">
        <v>128.831458</v>
      </c>
      <c r="L21">
        <v>1.671E-3</v>
      </c>
      <c r="M21">
        <v>272.43566850000002</v>
      </c>
      <c r="N21">
        <f t="shared" si="1"/>
        <v>401.26712650000002</v>
      </c>
      <c r="O21"/>
      <c r="P21" s="2"/>
      <c r="V21"/>
      <c r="W21" s="2"/>
      <c r="AC21"/>
      <c r="AD21" s="2"/>
    </row>
    <row r="22" spans="1:30" x14ac:dyDescent="0.2">
      <c r="A22" t="s">
        <v>20</v>
      </c>
      <c r="B22">
        <v>149066.404289</v>
      </c>
      <c r="C22">
        <v>285.12494400000003</v>
      </c>
      <c r="D22">
        <v>88.122407999999993</v>
      </c>
      <c r="E22">
        <f>C22/100*35</f>
        <v>99.793730400000001</v>
      </c>
      <c r="F22">
        <v>3366.3098144999994</v>
      </c>
      <c r="G22">
        <v>4154.1231438000004</v>
      </c>
      <c r="H22">
        <f>C22+E22+F22</f>
        <v>3751.2284888999993</v>
      </c>
      <c r="I22" s="2">
        <f t="shared" si="0"/>
        <v>1.1074033896074789</v>
      </c>
      <c r="J22">
        <v>1216.242311</v>
      </c>
      <c r="K22">
        <v>209.84140600000001</v>
      </c>
      <c r="L22">
        <v>8.3900000000000001E-4</v>
      </c>
      <c r="M22">
        <v>364.50661500000001</v>
      </c>
      <c r="N22">
        <f t="shared" si="1"/>
        <v>574.34802100000002</v>
      </c>
      <c r="O22"/>
      <c r="P22" s="2"/>
      <c r="V22"/>
      <c r="W22" s="2"/>
      <c r="AC22"/>
      <c r="AD22" s="2"/>
    </row>
    <row r="23" spans="1:30" x14ac:dyDescent="0.2">
      <c r="A23" t="s">
        <v>21</v>
      </c>
      <c r="B23">
        <v>7004.5607259999997</v>
      </c>
      <c r="C23">
        <v>87.263304000000005</v>
      </c>
      <c r="D23">
        <v>49.923215999999996</v>
      </c>
      <c r="E23">
        <f>C23/100*35</f>
        <v>30.542156400000003</v>
      </c>
      <c r="F23">
        <v>4381.4505614999998</v>
      </c>
      <c r="G23">
        <v>8328.3442379999997</v>
      </c>
      <c r="H23">
        <f>C23+E23+F23</f>
        <v>4499.2560218999997</v>
      </c>
      <c r="I23" s="2">
        <f t="shared" si="0"/>
        <v>1.8510491951251546</v>
      </c>
      <c r="J23">
        <v>371.80383799999998</v>
      </c>
      <c r="K23">
        <v>84.627731999999995</v>
      </c>
      <c r="L23">
        <v>7.0699999999999995E-4</v>
      </c>
      <c r="M23">
        <v>133.4186895</v>
      </c>
      <c r="N23">
        <f t="shared" si="1"/>
        <v>218.04642150000001</v>
      </c>
      <c r="O23"/>
      <c r="P23" s="2"/>
      <c r="V23"/>
      <c r="W23" s="2"/>
      <c r="AC23"/>
      <c r="AD23" s="2"/>
    </row>
    <row r="24" spans="1:30" x14ac:dyDescent="0.2">
      <c r="A24" t="s">
        <v>22</v>
      </c>
      <c r="B24">
        <v>22913.977849999999</v>
      </c>
      <c r="C24">
        <v>90.542427000000004</v>
      </c>
      <c r="D24">
        <v>58.262447999999999</v>
      </c>
      <c r="E24">
        <f>C24/100*35</f>
        <v>31.689849450000001</v>
      </c>
      <c r="F24">
        <v>2352.6450809999997</v>
      </c>
      <c r="G24">
        <v>3386.6920890000001</v>
      </c>
      <c r="H24">
        <f>C24+E24+F24</f>
        <v>2474.8773574499996</v>
      </c>
      <c r="I24" s="2">
        <f t="shared" si="0"/>
        <v>1.3684282491030153</v>
      </c>
      <c r="J24">
        <v>363.37611399999997</v>
      </c>
      <c r="K24">
        <v>79.886634000000001</v>
      </c>
      <c r="L24">
        <v>5.8799999999999998E-4</v>
      </c>
      <c r="M24">
        <v>136.16332649999998</v>
      </c>
      <c r="N24">
        <f t="shared" si="1"/>
        <v>216.0499605</v>
      </c>
      <c r="O24"/>
      <c r="P24" s="2"/>
      <c r="V24"/>
      <c r="W24" s="2"/>
      <c r="AC24"/>
      <c r="AD24" s="2"/>
    </row>
    <row r="25" spans="1:30" x14ac:dyDescent="0.2">
      <c r="A25" t="s">
        <v>23</v>
      </c>
      <c r="B25">
        <v>765.38625300000001</v>
      </c>
      <c r="C25">
        <v>58.491816</v>
      </c>
      <c r="D25">
        <v>38.087721000000002</v>
      </c>
      <c r="E25">
        <f>C25/100*35</f>
        <v>20.472135599999998</v>
      </c>
      <c r="F25">
        <v>144.3502125</v>
      </c>
      <c r="G25">
        <v>203.83949519999999</v>
      </c>
      <c r="H25">
        <f>C25+E25+F25</f>
        <v>223.3141641</v>
      </c>
      <c r="I25" s="2">
        <f t="shared" si="0"/>
        <v>0.9127925047724279</v>
      </c>
      <c r="J25">
        <v>215.24677500000001</v>
      </c>
      <c r="K25">
        <v>124.574257</v>
      </c>
      <c r="L25">
        <v>4.5899999999999999E-4</v>
      </c>
      <c r="M25">
        <v>51.396097500000003</v>
      </c>
      <c r="N25">
        <f t="shared" si="1"/>
        <v>175.97035450000001</v>
      </c>
      <c r="O25"/>
      <c r="P25" s="2"/>
      <c r="V25"/>
      <c r="W25" s="2"/>
      <c r="AC25"/>
      <c r="AD25" s="2"/>
    </row>
    <row r="26" spans="1:30" x14ac:dyDescent="0.2">
      <c r="A26" t="s">
        <v>24</v>
      </c>
      <c r="B26">
        <v>147.23636999999999</v>
      </c>
      <c r="C26">
        <v>17.526050000000001</v>
      </c>
      <c r="D26">
        <v>7.2571130000000004</v>
      </c>
      <c r="E26">
        <f>C26/100*35</f>
        <v>6.1341175000000003</v>
      </c>
      <c r="F26">
        <v>112.63339199999999</v>
      </c>
      <c r="G26">
        <v>174.6266148</v>
      </c>
      <c r="H26">
        <f>C26+E26+F26</f>
        <v>136.29355949999999</v>
      </c>
      <c r="I26" s="2">
        <f t="shared" si="0"/>
        <v>1.2812536075851773</v>
      </c>
      <c r="J26">
        <v>419.254209</v>
      </c>
      <c r="K26">
        <v>146.06868600000001</v>
      </c>
      <c r="L26">
        <v>1.6799999999999999E-4</v>
      </c>
      <c r="M26">
        <v>38.283265499999999</v>
      </c>
      <c r="N26">
        <f t="shared" si="1"/>
        <v>184.35195150000001</v>
      </c>
      <c r="O26"/>
      <c r="P26" s="2"/>
      <c r="V26"/>
      <c r="W26" s="2"/>
      <c r="AC26"/>
      <c r="AD26" s="2"/>
    </row>
    <row r="30" spans="1:30" x14ac:dyDescent="0.2">
      <c r="C30">
        <v>14</v>
      </c>
      <c r="D30">
        <v>4.901E-3</v>
      </c>
      <c r="E30">
        <f>C30*D30</f>
        <v>6.8613999999999994E-2</v>
      </c>
      <c r="F30">
        <f>E30*1000</f>
        <v>68.61399999999999</v>
      </c>
      <c r="G30">
        <f>F30/100*35</f>
        <v>24.014899999999994</v>
      </c>
      <c r="J30" t="s">
        <v>35</v>
      </c>
    </row>
    <row r="31" spans="1:30" x14ac:dyDescent="0.2">
      <c r="C31">
        <v>14</v>
      </c>
      <c r="D31">
        <v>2.2603999999999999E-2</v>
      </c>
      <c r="E31">
        <f>C31*D31</f>
        <v>0.31645599999999996</v>
      </c>
      <c r="F31">
        <f t="shared" ref="F31:F53" si="2">E31*1000</f>
        <v>316.45599999999996</v>
      </c>
      <c r="G31">
        <f t="shared" ref="G31:G53" si="3">F31/100*35</f>
        <v>110.75959999999999</v>
      </c>
    </row>
    <row r="32" spans="1:30" x14ac:dyDescent="0.2">
      <c r="C32">
        <v>14</v>
      </c>
      <c r="D32">
        <v>6.7000000000000002E-4</v>
      </c>
      <c r="E32">
        <f>C32*D32</f>
        <v>9.3799999999999994E-3</v>
      </c>
      <c r="F32">
        <f t="shared" si="2"/>
        <v>9.379999999999999</v>
      </c>
      <c r="G32">
        <f t="shared" si="3"/>
        <v>3.2829999999999999</v>
      </c>
    </row>
    <row r="33" spans="3:7" x14ac:dyDescent="0.2">
      <c r="C33">
        <v>14</v>
      </c>
      <c r="D33">
        <v>1.6594000000000001E-2</v>
      </c>
      <c r="E33">
        <f>C33*D33</f>
        <v>0.23231600000000002</v>
      </c>
      <c r="F33">
        <f t="shared" si="2"/>
        <v>232.31600000000003</v>
      </c>
      <c r="G33">
        <f t="shared" si="3"/>
        <v>81.310600000000008</v>
      </c>
    </row>
    <row r="34" spans="3:7" x14ac:dyDescent="0.2">
      <c r="C34">
        <v>14</v>
      </c>
      <c r="D34">
        <v>3.3500000000000001E-4</v>
      </c>
      <c r="E34">
        <f>C34*D34</f>
        <v>4.6899999999999997E-3</v>
      </c>
      <c r="F34">
        <f t="shared" si="2"/>
        <v>4.6899999999999995</v>
      </c>
      <c r="G34">
        <f t="shared" si="3"/>
        <v>1.6415</v>
      </c>
    </row>
    <row r="35" spans="3:7" x14ac:dyDescent="0.2">
      <c r="C35">
        <v>14</v>
      </c>
      <c r="D35">
        <v>3.9899999999999999E-4</v>
      </c>
      <c r="E35">
        <f>C35*D35</f>
        <v>5.5859999999999998E-3</v>
      </c>
      <c r="F35">
        <f t="shared" si="2"/>
        <v>5.5859999999999994</v>
      </c>
      <c r="G35">
        <f t="shared" si="3"/>
        <v>1.9550999999999998</v>
      </c>
    </row>
    <row r="36" spans="3:7" x14ac:dyDescent="0.2">
      <c r="C36">
        <v>14</v>
      </c>
      <c r="D36">
        <v>1.7699999999999999E-4</v>
      </c>
      <c r="E36">
        <f>C36*D36</f>
        <v>2.4779999999999997E-3</v>
      </c>
      <c r="F36">
        <f t="shared" si="2"/>
        <v>2.4779999999999998</v>
      </c>
      <c r="G36">
        <f t="shared" si="3"/>
        <v>0.86729999999999985</v>
      </c>
    </row>
    <row r="37" spans="3:7" x14ac:dyDescent="0.2">
      <c r="C37">
        <v>14</v>
      </c>
      <c r="D37">
        <v>6.2000000000000003E-5</v>
      </c>
      <c r="E37">
        <f>C37*D37</f>
        <v>8.6800000000000006E-4</v>
      </c>
      <c r="F37">
        <f t="shared" si="2"/>
        <v>0.8680000000000001</v>
      </c>
      <c r="G37">
        <f t="shared" si="3"/>
        <v>0.30380000000000001</v>
      </c>
    </row>
    <row r="38" spans="3:7" x14ac:dyDescent="0.2">
      <c r="C38">
        <v>14</v>
      </c>
      <c r="D38">
        <v>2.3716999999999998E-2</v>
      </c>
      <c r="E38">
        <f>C38*D38</f>
        <v>0.332038</v>
      </c>
      <c r="F38">
        <f t="shared" si="2"/>
        <v>332.03800000000001</v>
      </c>
      <c r="G38">
        <f t="shared" si="3"/>
        <v>116.2133</v>
      </c>
    </row>
    <row r="39" spans="3:7" x14ac:dyDescent="0.2">
      <c r="C39">
        <v>14</v>
      </c>
      <c r="D39">
        <v>4.6200000000000001E-4</v>
      </c>
      <c r="E39">
        <f>C39*D39</f>
        <v>6.4679999999999998E-3</v>
      </c>
      <c r="F39">
        <f t="shared" si="2"/>
        <v>6.468</v>
      </c>
      <c r="G39">
        <f t="shared" si="3"/>
        <v>2.2638000000000003</v>
      </c>
    </row>
    <row r="40" spans="3:7" x14ac:dyDescent="0.2">
      <c r="C40">
        <v>14</v>
      </c>
      <c r="D40">
        <v>1.6639999999999999E-2</v>
      </c>
      <c r="E40">
        <f>C40*D40</f>
        <v>0.23295999999999997</v>
      </c>
      <c r="F40">
        <f t="shared" si="2"/>
        <v>232.95999999999998</v>
      </c>
      <c r="G40">
        <f t="shared" si="3"/>
        <v>81.535999999999987</v>
      </c>
    </row>
    <row r="41" spans="3:7" x14ac:dyDescent="0.2">
      <c r="C41">
        <v>14</v>
      </c>
      <c r="D41">
        <v>1.6618000000000001E-2</v>
      </c>
      <c r="E41">
        <f>C41*D41</f>
        <v>0.23265200000000003</v>
      </c>
      <c r="F41">
        <f t="shared" si="2"/>
        <v>232.65200000000002</v>
      </c>
      <c r="G41">
        <f t="shared" si="3"/>
        <v>81.428200000000018</v>
      </c>
    </row>
    <row r="42" spans="3:7" x14ac:dyDescent="0.2">
      <c r="C42">
        <v>14</v>
      </c>
      <c r="D42">
        <v>1.34E-3</v>
      </c>
      <c r="E42">
        <f>C42*D42</f>
        <v>1.8759999999999999E-2</v>
      </c>
      <c r="F42">
        <f t="shared" si="2"/>
        <v>18.759999999999998</v>
      </c>
      <c r="G42">
        <f t="shared" si="3"/>
        <v>6.5659999999999998</v>
      </c>
    </row>
    <row r="43" spans="3:7" x14ac:dyDescent="0.2">
      <c r="C43">
        <v>14</v>
      </c>
      <c r="D43">
        <v>2.5599999999999999E-4</v>
      </c>
      <c r="E43">
        <f>C43*D43</f>
        <v>3.5839999999999999E-3</v>
      </c>
      <c r="F43">
        <f t="shared" si="2"/>
        <v>3.5840000000000001</v>
      </c>
      <c r="G43">
        <f t="shared" si="3"/>
        <v>1.2544000000000002</v>
      </c>
    </row>
    <row r="44" spans="3:7" x14ac:dyDescent="0.2">
      <c r="C44">
        <v>14</v>
      </c>
      <c r="D44">
        <v>1.73E-4</v>
      </c>
      <c r="E44">
        <f>C44*D44</f>
        <v>2.4220000000000001E-3</v>
      </c>
      <c r="F44">
        <f t="shared" si="2"/>
        <v>2.4220000000000002</v>
      </c>
      <c r="G44">
        <f t="shared" si="3"/>
        <v>0.84770000000000012</v>
      </c>
    </row>
    <row r="45" spans="3:7" x14ac:dyDescent="0.2">
      <c r="C45">
        <v>14</v>
      </c>
      <c r="D45">
        <v>6.2000000000000003E-5</v>
      </c>
      <c r="E45">
        <f>C45*D45</f>
        <v>8.6800000000000006E-4</v>
      </c>
      <c r="F45">
        <f t="shared" si="2"/>
        <v>0.8680000000000001</v>
      </c>
      <c r="G45">
        <f t="shared" si="3"/>
        <v>0.30380000000000001</v>
      </c>
    </row>
    <row r="46" spans="3:7" x14ac:dyDescent="0.2">
      <c r="C46">
        <v>14</v>
      </c>
      <c r="D46">
        <v>2.2499999999999999E-4</v>
      </c>
      <c r="E46">
        <f>C46*D46</f>
        <v>3.15E-3</v>
      </c>
      <c r="F46">
        <f t="shared" si="2"/>
        <v>3.15</v>
      </c>
      <c r="G46">
        <f t="shared" si="3"/>
        <v>1.1025</v>
      </c>
    </row>
    <row r="47" spans="3:7" x14ac:dyDescent="0.2">
      <c r="C47">
        <v>14</v>
      </c>
      <c r="D47">
        <v>3.7100000000000002E-4</v>
      </c>
      <c r="E47">
        <f>C47*D47</f>
        <v>5.1940000000000007E-3</v>
      </c>
      <c r="F47">
        <f t="shared" si="2"/>
        <v>5.1940000000000008</v>
      </c>
      <c r="G47">
        <f t="shared" si="3"/>
        <v>1.8179000000000003</v>
      </c>
    </row>
    <row r="48" spans="3:7" x14ac:dyDescent="0.2">
      <c r="C48">
        <v>14</v>
      </c>
      <c r="D48">
        <v>4.46E-4</v>
      </c>
      <c r="E48">
        <f>C48*D48</f>
        <v>6.2439999999999996E-3</v>
      </c>
      <c r="F48">
        <f t="shared" si="2"/>
        <v>6.2439999999999998</v>
      </c>
      <c r="G48">
        <f t="shared" si="3"/>
        <v>2.1854</v>
      </c>
    </row>
    <row r="49" spans="3:7" x14ac:dyDescent="0.2">
      <c r="C49">
        <v>14</v>
      </c>
      <c r="D49">
        <v>2.9399999999999999E-4</v>
      </c>
      <c r="E49">
        <f>C49*D49</f>
        <v>4.1159999999999999E-3</v>
      </c>
      <c r="F49">
        <f t="shared" si="2"/>
        <v>4.1159999999999997</v>
      </c>
      <c r="G49">
        <f t="shared" si="3"/>
        <v>1.4405999999999999</v>
      </c>
    </row>
    <row r="50" spans="3:7" x14ac:dyDescent="0.2">
      <c r="C50">
        <v>14</v>
      </c>
      <c r="D50">
        <v>2.4800000000000001E-4</v>
      </c>
      <c r="E50">
        <f>C50*D50</f>
        <v>3.4720000000000003E-3</v>
      </c>
      <c r="F50">
        <f t="shared" si="2"/>
        <v>3.4720000000000004</v>
      </c>
      <c r="G50">
        <f t="shared" si="3"/>
        <v>1.2152000000000001</v>
      </c>
    </row>
    <row r="51" spans="3:7" x14ac:dyDescent="0.2">
      <c r="C51">
        <v>14</v>
      </c>
      <c r="D51">
        <v>2.1699999999999999E-4</v>
      </c>
      <c r="E51">
        <f>C51*D51</f>
        <v>3.0379999999999999E-3</v>
      </c>
      <c r="F51">
        <f t="shared" si="2"/>
        <v>3.0379999999999998</v>
      </c>
      <c r="G51">
        <f t="shared" si="3"/>
        <v>1.0632999999999999</v>
      </c>
    </row>
    <row r="52" spans="3:7" x14ac:dyDescent="0.2">
      <c r="C52">
        <v>14</v>
      </c>
      <c r="D52">
        <v>1.73E-4</v>
      </c>
      <c r="E52">
        <f>C52*D52</f>
        <v>2.4220000000000001E-3</v>
      </c>
      <c r="F52">
        <f t="shared" si="2"/>
        <v>2.4220000000000002</v>
      </c>
      <c r="G52">
        <f t="shared" si="3"/>
        <v>0.84770000000000012</v>
      </c>
    </row>
    <row r="53" spans="3:7" x14ac:dyDescent="0.2">
      <c r="C53">
        <v>14</v>
      </c>
      <c r="D53">
        <v>6.2000000000000003E-5</v>
      </c>
      <c r="E53">
        <f>C53*D53</f>
        <v>8.6800000000000006E-4</v>
      </c>
      <c r="F53">
        <f t="shared" si="2"/>
        <v>0.8680000000000001</v>
      </c>
      <c r="G53">
        <f t="shared" si="3"/>
        <v>0.30380000000000001</v>
      </c>
    </row>
    <row r="55" spans="3:7" x14ac:dyDescent="0.2">
      <c r="D55">
        <v>8.0490000000000006E-3</v>
      </c>
      <c r="E55">
        <v>4.901E-3</v>
      </c>
      <c r="F55">
        <f>D55/E55</f>
        <v>1.6423178943072843</v>
      </c>
    </row>
    <row r="56" spans="3:7" x14ac:dyDescent="0.2">
      <c r="D56">
        <v>5.5655999999999997E-2</v>
      </c>
      <c r="E56">
        <v>2.2603999999999999E-2</v>
      </c>
      <c r="F56">
        <f t="shared" ref="F56:F78" si="4">D56/E56</f>
        <v>2.4622190762696867</v>
      </c>
    </row>
    <row r="57" spans="3:7" x14ac:dyDescent="0.2">
      <c r="D57">
        <v>1.622E-3</v>
      </c>
      <c r="E57">
        <v>6.7000000000000002E-4</v>
      </c>
      <c r="F57">
        <f t="shared" si="4"/>
        <v>2.4208955223880597</v>
      </c>
    </row>
    <row r="58" spans="3:7" x14ac:dyDescent="0.2">
      <c r="D58">
        <v>4.5387999999999998E-2</v>
      </c>
      <c r="E58">
        <v>1.6594000000000001E-2</v>
      </c>
      <c r="F58">
        <f t="shared" si="4"/>
        <v>2.7352054959623957</v>
      </c>
    </row>
    <row r="59" spans="3:7" x14ac:dyDescent="0.2">
      <c r="D59">
        <v>6.4300000000000002E-4</v>
      </c>
      <c r="E59">
        <v>3.3500000000000001E-4</v>
      </c>
      <c r="F59">
        <f t="shared" si="4"/>
        <v>1.9194029850746268</v>
      </c>
    </row>
    <row r="60" spans="3:7" x14ac:dyDescent="0.2">
      <c r="D60">
        <v>8.3500000000000002E-4</v>
      </c>
      <c r="E60">
        <v>3.9899999999999999E-4</v>
      </c>
      <c r="F60">
        <f t="shared" si="4"/>
        <v>2.092731829573935</v>
      </c>
    </row>
    <row r="61" spans="3:7" x14ac:dyDescent="0.2">
      <c r="D61">
        <v>3.4200000000000002E-4</v>
      </c>
      <c r="E61">
        <v>1.7699999999999999E-4</v>
      </c>
      <c r="F61">
        <f t="shared" si="4"/>
        <v>1.9322033898305087</v>
      </c>
    </row>
    <row r="62" spans="3:7" x14ac:dyDescent="0.2">
      <c r="D62">
        <v>1.3200000000000001E-4</v>
      </c>
      <c r="E62">
        <v>6.2000000000000003E-5</v>
      </c>
      <c r="F62">
        <f t="shared" si="4"/>
        <v>2.129032258064516</v>
      </c>
    </row>
    <row r="63" spans="3:7" x14ac:dyDescent="0.2">
      <c r="D63">
        <v>5.8624000000000002E-2</v>
      </c>
      <c r="E63">
        <v>2.3716999999999998E-2</v>
      </c>
      <c r="F63">
        <f t="shared" si="4"/>
        <v>2.4718134671332801</v>
      </c>
    </row>
    <row r="64" spans="3:7" x14ac:dyDescent="0.2">
      <c r="D64">
        <v>1.0269999999999999E-3</v>
      </c>
      <c r="E64">
        <v>4.6200000000000001E-4</v>
      </c>
      <c r="F64">
        <f t="shared" si="4"/>
        <v>2.2229437229437226</v>
      </c>
    </row>
    <row r="65" spans="4:6" x14ac:dyDescent="0.2">
      <c r="D65">
        <v>4.5574000000000003E-2</v>
      </c>
      <c r="E65">
        <v>1.6639999999999999E-2</v>
      </c>
      <c r="F65">
        <f t="shared" si="4"/>
        <v>2.738822115384616</v>
      </c>
    </row>
    <row r="66" spans="4:6" x14ac:dyDescent="0.2">
      <c r="D66">
        <v>4.5504999999999997E-2</v>
      </c>
      <c r="E66">
        <v>1.6618000000000001E-2</v>
      </c>
      <c r="F66">
        <f t="shared" si="4"/>
        <v>2.7382958238055117</v>
      </c>
    </row>
    <row r="67" spans="4:6" x14ac:dyDescent="0.2">
      <c r="D67">
        <v>2.7659999999999998E-3</v>
      </c>
      <c r="E67">
        <v>1.34E-3</v>
      </c>
      <c r="F67">
        <f t="shared" si="4"/>
        <v>2.0641791044776117</v>
      </c>
    </row>
    <row r="68" spans="4:6" x14ac:dyDescent="0.2">
      <c r="D68">
        <v>4.75E-4</v>
      </c>
      <c r="E68">
        <v>2.5599999999999999E-4</v>
      </c>
      <c r="F68">
        <f t="shared" si="4"/>
        <v>1.85546875</v>
      </c>
    </row>
    <row r="69" spans="4:6" x14ac:dyDescent="0.2">
      <c r="D69">
        <v>3.3500000000000001E-4</v>
      </c>
      <c r="E69">
        <v>1.73E-4</v>
      </c>
      <c r="F69">
        <f t="shared" si="4"/>
        <v>1.9364161849710984</v>
      </c>
    </row>
    <row r="70" spans="4:6" x14ac:dyDescent="0.2">
      <c r="D70">
        <v>1.3200000000000001E-4</v>
      </c>
      <c r="E70">
        <v>6.2000000000000003E-5</v>
      </c>
      <c r="F70">
        <f t="shared" si="4"/>
        <v>2.129032258064516</v>
      </c>
    </row>
    <row r="71" spans="4:6" x14ac:dyDescent="0.2">
      <c r="D71">
        <v>4.1800000000000002E-4</v>
      </c>
      <c r="E71">
        <v>2.2499999999999999E-4</v>
      </c>
      <c r="F71">
        <f t="shared" si="4"/>
        <v>1.857777777777778</v>
      </c>
    </row>
    <row r="72" spans="4:6" x14ac:dyDescent="0.2">
      <c r="D72">
        <v>7.4899999999999999E-4</v>
      </c>
      <c r="E72">
        <v>3.7100000000000002E-4</v>
      </c>
      <c r="F72">
        <f t="shared" si="4"/>
        <v>2.0188679245283017</v>
      </c>
    </row>
    <row r="73" spans="4:6" x14ac:dyDescent="0.2">
      <c r="D73">
        <v>9.8400000000000007E-4</v>
      </c>
      <c r="E73">
        <v>4.46E-4</v>
      </c>
      <c r="F73">
        <f t="shared" si="4"/>
        <v>2.2062780269058297</v>
      </c>
    </row>
    <row r="74" spans="4:6" x14ac:dyDescent="0.2">
      <c r="D74">
        <v>5.5599999999999996E-4</v>
      </c>
      <c r="E74">
        <v>2.9399999999999999E-4</v>
      </c>
      <c r="F74">
        <f t="shared" si="4"/>
        <v>1.8911564625850339</v>
      </c>
    </row>
    <row r="75" spans="4:6" x14ac:dyDescent="0.2">
      <c r="D75">
        <v>4.6299999999999998E-4</v>
      </c>
      <c r="E75">
        <v>2.4800000000000001E-4</v>
      </c>
      <c r="F75">
        <f t="shared" si="4"/>
        <v>1.8669354838709675</v>
      </c>
    </row>
    <row r="76" spans="4:6" x14ac:dyDescent="0.2">
      <c r="D76">
        <v>4.0499999999999998E-4</v>
      </c>
      <c r="E76">
        <v>2.1699999999999999E-4</v>
      </c>
      <c r="F76">
        <f t="shared" si="4"/>
        <v>1.8663594470046083</v>
      </c>
    </row>
    <row r="77" spans="4:6" x14ac:dyDescent="0.2">
      <c r="D77">
        <v>3.3399999999999999E-4</v>
      </c>
      <c r="E77">
        <v>1.73E-4</v>
      </c>
      <c r="F77">
        <f t="shared" si="4"/>
        <v>1.9306358381502888</v>
      </c>
    </row>
    <row r="78" spans="4:6" x14ac:dyDescent="0.2">
      <c r="D78">
        <v>1.3200000000000001E-4</v>
      </c>
      <c r="E78">
        <v>6.2000000000000003E-5</v>
      </c>
      <c r="F78">
        <f t="shared" si="4"/>
        <v>2.129032258064516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83706-C05C-CE4F-80C4-12CFEF532F88}">
  <dimension ref="A1:AI26"/>
  <sheetViews>
    <sheetView workbookViewId="0">
      <selection activeCell="D3" sqref="D3:D26"/>
    </sheetView>
  </sheetViews>
  <sheetFormatPr baseColWidth="10" defaultRowHeight="16" x14ac:dyDescent="0.2"/>
  <cols>
    <col min="2" max="2" width="14" customWidth="1"/>
    <col min="3" max="3" width="12.6640625" customWidth="1"/>
    <col min="4" max="4" width="16.1640625" customWidth="1"/>
    <col min="5" max="5" width="20" customWidth="1"/>
    <col min="6" max="6" width="21.83203125" customWidth="1"/>
    <col min="7" max="7" width="21.5" customWidth="1"/>
    <col min="8" max="8" width="21.5" style="2" customWidth="1"/>
    <col min="9" max="9" width="15.83203125" customWidth="1"/>
    <col min="10" max="10" width="15.5" customWidth="1"/>
    <col min="11" max="11" width="17.6640625" customWidth="1"/>
    <col min="12" max="12" width="23.5" customWidth="1"/>
    <col min="13" max="13" width="17.5" customWidth="1"/>
    <col min="14" max="14" width="19.6640625" customWidth="1"/>
    <col min="15" max="15" width="19.6640625" style="2" customWidth="1"/>
    <col min="16" max="16" width="10.33203125" customWidth="1"/>
    <col min="18" max="18" width="16" customWidth="1"/>
    <col min="19" max="19" width="21.6640625" customWidth="1"/>
    <col min="20" max="20" width="14.83203125" customWidth="1"/>
    <col min="21" max="21" width="20.5" customWidth="1"/>
    <col min="22" max="22" width="20.5" style="2" customWidth="1"/>
    <col min="25" max="25" width="17.83203125" customWidth="1"/>
    <col min="26" max="26" width="24.1640625" customWidth="1"/>
    <col min="27" max="27" width="15.6640625" customWidth="1"/>
    <col min="28" max="28" width="21.33203125" customWidth="1"/>
    <col min="29" max="29" width="21.33203125" style="2" customWidth="1"/>
    <col min="31" max="31" width="11" customWidth="1"/>
    <col min="32" max="32" width="15.5" customWidth="1"/>
    <col min="33" max="33" width="20.6640625" customWidth="1"/>
    <col min="34" max="34" width="15" customWidth="1"/>
    <col min="35" max="35" width="22.5" customWidth="1"/>
  </cols>
  <sheetData>
    <row r="1" spans="1:35" x14ac:dyDescent="0.2">
      <c r="B1" s="3" t="s">
        <v>0</v>
      </c>
      <c r="C1" s="3"/>
      <c r="D1" s="3"/>
      <c r="E1" s="3"/>
      <c r="F1" s="3"/>
      <c r="G1" s="3"/>
      <c r="H1" s="1"/>
      <c r="I1" s="3" t="s">
        <v>25</v>
      </c>
      <c r="J1" s="3"/>
      <c r="K1" s="3"/>
      <c r="L1" s="3"/>
      <c r="M1" s="3"/>
      <c r="N1" s="3"/>
      <c r="O1" s="1"/>
      <c r="P1" s="3" t="s">
        <v>32</v>
      </c>
      <c r="Q1" s="3"/>
      <c r="R1" s="3"/>
      <c r="S1" s="3"/>
      <c r="T1" s="3"/>
      <c r="U1" s="3"/>
      <c r="V1" s="1"/>
      <c r="W1" s="3" t="s">
        <v>33</v>
      </c>
      <c r="X1" s="3"/>
      <c r="Y1" s="3"/>
      <c r="Z1" s="3"/>
      <c r="AA1" s="3"/>
      <c r="AB1" s="3"/>
      <c r="AC1" s="1"/>
      <c r="AD1" s="3" t="s">
        <v>34</v>
      </c>
      <c r="AE1" s="3"/>
      <c r="AF1" s="3"/>
      <c r="AG1" s="3"/>
      <c r="AH1" s="3"/>
      <c r="AI1" s="3"/>
    </row>
    <row r="2" spans="1:35" x14ac:dyDescent="0.2">
      <c r="B2" t="s">
        <v>26</v>
      </c>
      <c r="C2" t="s">
        <v>27</v>
      </c>
      <c r="D2" t="s">
        <v>28</v>
      </c>
      <c r="E2" t="s">
        <v>30</v>
      </c>
      <c r="F2" t="s">
        <v>29</v>
      </c>
      <c r="G2" t="s">
        <v>31</v>
      </c>
      <c r="I2" t="s">
        <v>26</v>
      </c>
      <c r="J2" t="s">
        <v>27</v>
      </c>
      <c r="K2" t="s">
        <v>28</v>
      </c>
      <c r="L2" t="s">
        <v>30</v>
      </c>
      <c r="M2" t="s">
        <v>29</v>
      </c>
      <c r="N2" t="s">
        <v>31</v>
      </c>
      <c r="P2" t="s">
        <v>26</v>
      </c>
      <c r="Q2" t="s">
        <v>27</v>
      </c>
      <c r="R2" t="s">
        <v>28</v>
      </c>
      <c r="S2" t="s">
        <v>30</v>
      </c>
      <c r="T2" t="s">
        <v>29</v>
      </c>
      <c r="U2" t="s">
        <v>31</v>
      </c>
      <c r="W2" t="s">
        <v>26</v>
      </c>
      <c r="X2" t="s">
        <v>27</v>
      </c>
      <c r="Y2" t="s">
        <v>28</v>
      </c>
      <c r="Z2" t="s">
        <v>30</v>
      </c>
      <c r="AA2" t="s">
        <v>29</v>
      </c>
      <c r="AB2" t="s">
        <v>31</v>
      </c>
      <c r="AD2" t="s">
        <v>26</v>
      </c>
      <c r="AE2" t="s">
        <v>27</v>
      </c>
      <c r="AF2" t="s">
        <v>28</v>
      </c>
      <c r="AG2" t="s">
        <v>30</v>
      </c>
      <c r="AH2" t="s">
        <v>29</v>
      </c>
      <c r="AI2" t="s">
        <v>31</v>
      </c>
    </row>
    <row r="3" spans="1:35" x14ac:dyDescent="0.2">
      <c r="A3" t="s">
        <v>1</v>
      </c>
      <c r="B3">
        <v>9417.8718370000006</v>
      </c>
      <c r="C3">
        <v>477.18910699999998</v>
      </c>
      <c r="D3">
        <v>8.0490000000000006E-3</v>
      </c>
      <c r="F3">
        <v>1990.462524</v>
      </c>
      <c r="I3">
        <v>13690.808674</v>
      </c>
      <c r="J3">
        <v>463.86483299999998</v>
      </c>
      <c r="K3">
        <v>3.3449E-2</v>
      </c>
      <c r="L3">
        <v>5594.9490960000003</v>
      </c>
      <c r="M3">
        <v>4654.9638670000004</v>
      </c>
    </row>
    <row r="4" spans="1:35" x14ac:dyDescent="0.2">
      <c r="A4" t="s">
        <v>2</v>
      </c>
      <c r="B4">
        <v>17671.353122</v>
      </c>
      <c r="C4">
        <v>1914.230822</v>
      </c>
      <c r="D4">
        <v>5.5655999999999997E-2</v>
      </c>
      <c r="F4">
        <v>10370.166015999999</v>
      </c>
      <c r="I4">
        <v>15245.328669</v>
      </c>
      <c r="J4">
        <v>1595.9798539999999</v>
      </c>
      <c r="K4">
        <v>6.7628999999999995E-2</v>
      </c>
      <c r="L4">
        <v>9484.4084475</v>
      </c>
      <c r="M4">
        <v>20622.365234000001</v>
      </c>
    </row>
    <row r="5" spans="1:35" x14ac:dyDescent="0.2">
      <c r="A5" t="s">
        <v>3</v>
      </c>
      <c r="B5">
        <v>1479.791618</v>
      </c>
      <c r="C5">
        <v>112.82569100000001</v>
      </c>
      <c r="D5">
        <v>1.622E-3</v>
      </c>
      <c r="F5">
        <v>75.635681000000005</v>
      </c>
      <c r="I5">
        <v>3369.6260569999999</v>
      </c>
      <c r="J5">
        <v>164.744215</v>
      </c>
      <c r="K5">
        <v>5.4229999999999999E-3</v>
      </c>
      <c r="L5">
        <v>78.72</v>
      </c>
      <c r="M5">
        <v>139.15033</v>
      </c>
    </row>
    <row r="6" spans="1:35" x14ac:dyDescent="0.2">
      <c r="A6" t="s">
        <v>4</v>
      </c>
      <c r="B6">
        <v>2172.5565510000001</v>
      </c>
      <c r="C6">
        <v>1374.382153</v>
      </c>
      <c r="D6">
        <v>4.5387999999999998E-2</v>
      </c>
      <c r="F6">
        <v>766.82037400000002</v>
      </c>
      <c r="I6">
        <v>5134.7335549999998</v>
      </c>
      <c r="J6">
        <v>910.870946</v>
      </c>
      <c r="K6">
        <v>4.4166999999999998E-2</v>
      </c>
      <c r="L6">
        <v>420.68426550000004</v>
      </c>
    </row>
    <row r="7" spans="1:35" x14ac:dyDescent="0.2">
      <c r="A7" t="s">
        <v>5</v>
      </c>
      <c r="B7">
        <v>234.09388999999999</v>
      </c>
      <c r="C7">
        <v>104.16401999999999</v>
      </c>
      <c r="D7">
        <v>6.4300000000000002E-4</v>
      </c>
      <c r="F7">
        <v>535.90325900000005</v>
      </c>
      <c r="I7">
        <v>972.53106100000002</v>
      </c>
      <c r="J7">
        <v>90.302076999999997</v>
      </c>
      <c r="K7">
        <v>2.2529999999999998E-3</v>
      </c>
      <c r="L7">
        <v>228.36632549999999</v>
      </c>
    </row>
    <row r="8" spans="1:35" x14ac:dyDescent="0.2">
      <c r="A8" t="s">
        <v>6</v>
      </c>
      <c r="B8">
        <v>419.88227499999999</v>
      </c>
      <c r="C8">
        <v>90.137535</v>
      </c>
      <c r="D8">
        <v>8.3500000000000002E-4</v>
      </c>
      <c r="F8">
        <v>151.758713</v>
      </c>
      <c r="I8">
        <v>861.55005500000004</v>
      </c>
      <c r="J8">
        <v>146.93757400000001</v>
      </c>
      <c r="K8">
        <v>2.944E-3</v>
      </c>
      <c r="L8">
        <v>278.54898900000001</v>
      </c>
    </row>
    <row r="9" spans="1:35" x14ac:dyDescent="0.2">
      <c r="A9" t="s">
        <v>7</v>
      </c>
      <c r="B9">
        <v>105.634635</v>
      </c>
      <c r="C9">
        <v>51.919272999999997</v>
      </c>
      <c r="D9">
        <v>3.4200000000000002E-4</v>
      </c>
      <c r="F9">
        <v>39.807999000000002</v>
      </c>
      <c r="I9">
        <v>124.19409400000001</v>
      </c>
      <c r="J9">
        <v>52.422694</v>
      </c>
      <c r="K9">
        <v>9.3599999999999998E-4</v>
      </c>
      <c r="L9">
        <v>45.141217500000003</v>
      </c>
    </row>
    <row r="10" spans="1:35" x14ac:dyDescent="0.2">
      <c r="A10" t="s">
        <v>8</v>
      </c>
      <c r="B10">
        <v>119.543492</v>
      </c>
      <c r="C10">
        <v>12.459902</v>
      </c>
      <c r="D10">
        <v>1.3200000000000001E-4</v>
      </c>
      <c r="F10">
        <v>36.931583000000003</v>
      </c>
      <c r="I10">
        <v>56.038083</v>
      </c>
      <c r="J10">
        <v>11.890815999999999</v>
      </c>
      <c r="K10">
        <v>3.3300000000000002E-4</v>
      </c>
      <c r="L10">
        <v>42.381311999999994</v>
      </c>
    </row>
    <row r="11" spans="1:35" x14ac:dyDescent="0.2">
      <c r="A11" t="s">
        <v>9</v>
      </c>
      <c r="B11">
        <v>155212.811396</v>
      </c>
      <c r="C11">
        <v>2092.8548350000001</v>
      </c>
      <c r="D11">
        <v>5.8624000000000002E-2</v>
      </c>
      <c r="F11">
        <v>167985.453125</v>
      </c>
      <c r="I11">
        <v>167852.451332</v>
      </c>
      <c r="J11">
        <v>1213.0471769999999</v>
      </c>
      <c r="K11">
        <v>6.9983000000000004E-2</v>
      </c>
      <c r="L11">
        <v>139640.23828200001</v>
      </c>
    </row>
    <row r="12" spans="1:35" x14ac:dyDescent="0.2">
      <c r="A12" t="s">
        <v>10</v>
      </c>
      <c r="B12">
        <v>2625.6413539999999</v>
      </c>
      <c r="C12">
        <v>125.60651900000001</v>
      </c>
      <c r="D12">
        <v>1.0269999999999999E-3</v>
      </c>
      <c r="F12">
        <v>1485.012939</v>
      </c>
      <c r="I12">
        <v>1366.5263500000001</v>
      </c>
      <c r="J12">
        <v>117.61169099999999</v>
      </c>
      <c r="K12">
        <v>3.3519999999999999E-3</v>
      </c>
      <c r="L12">
        <v>56.048641500000002</v>
      </c>
    </row>
    <row r="13" spans="1:35" x14ac:dyDescent="0.2">
      <c r="A13" t="s">
        <v>11</v>
      </c>
      <c r="B13">
        <v>21823.215963999999</v>
      </c>
      <c r="C13">
        <v>1116.3665739999999</v>
      </c>
      <c r="D13">
        <v>4.5574000000000003E-2</v>
      </c>
      <c r="F13">
        <v>713.40234399999997</v>
      </c>
      <c r="I13">
        <v>19313.600882999999</v>
      </c>
      <c r="J13">
        <v>904.35333700000001</v>
      </c>
      <c r="K13">
        <v>4.4602000000000003E-2</v>
      </c>
      <c r="L13">
        <v>989.43896549999999</v>
      </c>
    </row>
    <row r="14" spans="1:35" x14ac:dyDescent="0.2">
      <c r="A14" t="s">
        <v>12</v>
      </c>
      <c r="B14">
        <v>17929.024336999999</v>
      </c>
      <c r="C14">
        <v>1299.8565900000001</v>
      </c>
      <c r="D14">
        <v>4.5504999999999997E-2</v>
      </c>
      <c r="F14">
        <v>31483.355468999998</v>
      </c>
      <c r="I14">
        <v>11052.153025</v>
      </c>
      <c r="J14">
        <v>1400.8603479999999</v>
      </c>
      <c r="K14">
        <v>4.4236999999999999E-2</v>
      </c>
      <c r="L14">
        <v>4542.3112799999999</v>
      </c>
    </row>
    <row r="15" spans="1:35" x14ac:dyDescent="0.2">
      <c r="A15" t="s">
        <v>13</v>
      </c>
      <c r="B15">
        <v>118811.037967</v>
      </c>
      <c r="C15">
        <v>720.09225300000003</v>
      </c>
      <c r="D15">
        <v>2.7659999999999998E-3</v>
      </c>
      <c r="F15">
        <v>1744.5355219999999</v>
      </c>
      <c r="I15">
        <v>31312.272054000001</v>
      </c>
      <c r="J15">
        <v>402.04188399999998</v>
      </c>
      <c r="K15">
        <v>9.4800000000000006E-3</v>
      </c>
      <c r="L15">
        <v>703.30828799999995</v>
      </c>
    </row>
    <row r="16" spans="1:35" x14ac:dyDescent="0.2">
      <c r="A16" t="s">
        <v>14</v>
      </c>
      <c r="B16">
        <v>1028.1880080000001</v>
      </c>
      <c r="C16">
        <v>139.63667100000001</v>
      </c>
      <c r="D16">
        <v>4.75E-4</v>
      </c>
      <c r="F16">
        <v>701.88543700000002</v>
      </c>
      <c r="I16">
        <v>550.26764500000002</v>
      </c>
      <c r="J16">
        <v>120.091291</v>
      </c>
      <c r="K16">
        <v>1.421E-3</v>
      </c>
      <c r="L16">
        <v>207.98668650000002</v>
      </c>
    </row>
    <row r="17" spans="1:12" x14ac:dyDescent="0.2">
      <c r="A17" t="s">
        <v>15</v>
      </c>
      <c r="B17">
        <v>396.20727299999999</v>
      </c>
      <c r="C17">
        <v>98.070464999999999</v>
      </c>
      <c r="D17">
        <v>3.3500000000000001E-4</v>
      </c>
      <c r="F17">
        <v>72.519676000000004</v>
      </c>
      <c r="I17">
        <v>386.21430099999998</v>
      </c>
      <c r="J17">
        <v>219.59656699999999</v>
      </c>
      <c r="K17">
        <v>9.1200000000000005E-4</v>
      </c>
      <c r="L17">
        <v>50.724816000000004</v>
      </c>
    </row>
    <row r="18" spans="1:12" x14ac:dyDescent="0.2">
      <c r="A18" t="s">
        <v>16</v>
      </c>
      <c r="B18">
        <v>98.912571999999997</v>
      </c>
      <c r="C18">
        <v>14.811688</v>
      </c>
      <c r="D18">
        <v>1.3200000000000001E-4</v>
      </c>
      <c r="F18">
        <v>61.978496999999997</v>
      </c>
      <c r="I18">
        <v>106.515427</v>
      </c>
      <c r="J18">
        <v>54.804693999999998</v>
      </c>
      <c r="K18">
        <v>3.3300000000000002E-4</v>
      </c>
      <c r="L18">
        <v>47.923198499999998</v>
      </c>
    </row>
    <row r="19" spans="1:12" x14ac:dyDescent="0.2">
      <c r="A19" t="s">
        <v>17</v>
      </c>
      <c r="B19">
        <v>7203.9502309999998</v>
      </c>
      <c r="C19">
        <v>192.99337</v>
      </c>
      <c r="D19">
        <v>4.1800000000000002E-4</v>
      </c>
      <c r="F19">
        <v>19171.833984000001</v>
      </c>
      <c r="I19">
        <v>643.59767899999997</v>
      </c>
      <c r="J19">
        <v>193.84298899999999</v>
      </c>
      <c r="K19">
        <v>1.176E-3</v>
      </c>
      <c r="L19">
        <v>195.224076</v>
      </c>
    </row>
    <row r="20" spans="1:12" x14ac:dyDescent="0.2">
      <c r="A20" t="s">
        <v>18</v>
      </c>
      <c r="B20">
        <v>269308.63916199998</v>
      </c>
      <c r="C20">
        <v>456.31416300000001</v>
      </c>
      <c r="D20">
        <v>7.4899999999999999E-4</v>
      </c>
      <c r="F20">
        <v>40869.527344000002</v>
      </c>
      <c r="I20">
        <v>2865.7808620000001</v>
      </c>
      <c r="J20">
        <v>320.635628</v>
      </c>
      <c r="K20">
        <v>2.1450000000000002E-3</v>
      </c>
      <c r="L20">
        <v>8512.4794920000004</v>
      </c>
    </row>
    <row r="21" spans="1:12" x14ac:dyDescent="0.2">
      <c r="A21" t="s">
        <v>19</v>
      </c>
      <c r="B21">
        <v>134397.13449500001</v>
      </c>
      <c r="C21">
        <v>427.68326100000002</v>
      </c>
      <c r="D21">
        <v>9.8400000000000007E-4</v>
      </c>
      <c r="F21">
        <v>24998.574218999998</v>
      </c>
      <c r="I21">
        <v>3301.7924459999999</v>
      </c>
      <c r="J21">
        <v>268.37274200000002</v>
      </c>
      <c r="K21">
        <v>3.29E-3</v>
      </c>
      <c r="L21">
        <v>525.75590550000004</v>
      </c>
    </row>
    <row r="22" spans="1:12" x14ac:dyDescent="0.2">
      <c r="A22" t="s">
        <v>20</v>
      </c>
      <c r="B22">
        <v>149321.501174</v>
      </c>
      <c r="C22">
        <v>465.66196600000001</v>
      </c>
      <c r="D22">
        <v>5.5599999999999996E-4</v>
      </c>
      <c r="F22">
        <v>2745.7780760000001</v>
      </c>
      <c r="I22">
        <v>1750.5918489999999</v>
      </c>
      <c r="J22">
        <v>313.59131600000001</v>
      </c>
      <c r="K22">
        <v>1.67E-3</v>
      </c>
      <c r="L22">
        <v>661.57672049999996</v>
      </c>
    </row>
    <row r="23" spans="1:12" x14ac:dyDescent="0.2">
      <c r="A23" t="s">
        <v>21</v>
      </c>
      <c r="B23">
        <v>6917.6939160000002</v>
      </c>
      <c r="C23">
        <v>266.86246899999998</v>
      </c>
      <c r="D23">
        <v>4.6299999999999998E-4</v>
      </c>
      <c r="F23">
        <v>4585.0122069999998</v>
      </c>
      <c r="I23">
        <v>507.70135699999997</v>
      </c>
      <c r="J23">
        <v>151.13602900000001</v>
      </c>
      <c r="K23">
        <v>1.41E-3</v>
      </c>
      <c r="L23">
        <v>255.11423550000001</v>
      </c>
    </row>
    <row r="24" spans="1:12" x14ac:dyDescent="0.2">
      <c r="A24" t="s">
        <v>22</v>
      </c>
      <c r="B24">
        <v>22947.191185</v>
      </c>
      <c r="C24">
        <v>172.92115999999999</v>
      </c>
      <c r="D24">
        <v>4.0499999999999998E-4</v>
      </c>
      <c r="F24">
        <v>3672.2319339999999</v>
      </c>
      <c r="I24">
        <v>760.22349999999994</v>
      </c>
      <c r="J24">
        <v>284.54010399999999</v>
      </c>
      <c r="K24">
        <v>1.165E-3</v>
      </c>
      <c r="L24">
        <v>218.92895550000003</v>
      </c>
    </row>
    <row r="25" spans="1:12" x14ac:dyDescent="0.2">
      <c r="A25" t="s">
        <v>23</v>
      </c>
      <c r="B25">
        <v>1082.9079650000001</v>
      </c>
      <c r="C25">
        <v>123.819361</v>
      </c>
      <c r="D25">
        <v>3.3399999999999999E-4</v>
      </c>
      <c r="F25">
        <v>147.414017</v>
      </c>
      <c r="I25">
        <v>469.78007500000001</v>
      </c>
      <c r="J25">
        <v>225.74533400000001</v>
      </c>
      <c r="K25">
        <v>9.1200000000000005E-4</v>
      </c>
      <c r="L25">
        <v>62.527491000000005</v>
      </c>
    </row>
    <row r="26" spans="1:12" x14ac:dyDescent="0.2">
      <c r="A26" t="s">
        <v>24</v>
      </c>
      <c r="B26">
        <v>321.14625999999998</v>
      </c>
      <c r="C26">
        <v>30.125615</v>
      </c>
      <c r="D26">
        <v>1.3200000000000001E-4</v>
      </c>
      <c r="F26">
        <v>123.23737300000001</v>
      </c>
      <c r="I26">
        <v>92.848326999999998</v>
      </c>
      <c r="J26">
        <v>26.901620000000001</v>
      </c>
      <c r="K26">
        <v>3.3300000000000002E-4</v>
      </c>
      <c r="L26">
        <v>53.117952000000002</v>
      </c>
    </row>
  </sheetData>
  <mergeCells count="5">
    <mergeCell ref="B1:G1"/>
    <mergeCell ref="I1:N1"/>
    <mergeCell ref="P1:U1"/>
    <mergeCell ref="W1:AB1"/>
    <mergeCell ref="AD1:AI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BC6041-9543-0C4D-AB73-3B1F21FB1967}">
  <dimension ref="A1"/>
  <sheetViews>
    <sheetView workbookViewId="0">
      <selection activeCell="F28" sqref="D4:F28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2048</vt:lpstr>
      <vt:lpstr>4096</vt:lpstr>
      <vt:lpstr>8192</vt:lpstr>
      <vt:lpstr>Sheet4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Wei, Yihua</dc:creator>
  <cp:lastModifiedBy>Wei, Yihua</cp:lastModifiedBy>
  <dcterms:created xsi:type="dcterms:W3CDTF">2023-03-24T11:02:25Z</dcterms:created>
  <dcterms:modified xsi:type="dcterms:W3CDTF">2023-03-25T01:12:10Z</dcterms:modified>
</cp:coreProperties>
</file>