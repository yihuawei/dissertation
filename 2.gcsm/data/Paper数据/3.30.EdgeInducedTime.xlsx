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Paper数据/"/>
    </mc:Choice>
  </mc:AlternateContent>
  <xr:revisionPtr revIDLastSave="0" documentId="13_ncr:1_{A27F1DFF-D4D2-D549-B2D5-FDEE35E69B96}" xr6:coauthVersionLast="47" xr6:coauthVersionMax="47" xr10:uidLastSave="{00000000-0000-0000-0000-000000000000}"/>
  <bookViews>
    <workbookView xWindow="1460" yWindow="460" windowWidth="28040" windowHeight="15940" xr2:uid="{415FA005-D392-3248-84EC-27A1CD1E313B}"/>
  </bookViews>
  <sheets>
    <sheet name="2048" sheetId="1" r:id="rId1"/>
    <sheet name="4096" sheetId="2" r:id="rId2"/>
    <sheet name="819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P10" i="1" s="1"/>
  <c r="K11" i="1"/>
  <c r="P11" i="1" s="1"/>
  <c r="K12" i="1"/>
  <c r="K13" i="1"/>
  <c r="K14" i="1"/>
  <c r="K15" i="1"/>
  <c r="K16" i="1"/>
  <c r="K17" i="1"/>
  <c r="K18" i="1"/>
  <c r="P18" i="1" s="1"/>
  <c r="K19" i="1"/>
  <c r="K20" i="1"/>
  <c r="K21" i="1"/>
  <c r="K22" i="1"/>
  <c r="K23" i="1"/>
  <c r="K24" i="1"/>
  <c r="K25" i="1"/>
  <c r="K26" i="1"/>
  <c r="P26" i="1" s="1"/>
  <c r="K3" i="1"/>
  <c r="P3" i="1" s="1"/>
  <c r="P4" i="1"/>
  <c r="P5" i="1"/>
  <c r="P6" i="1"/>
  <c r="P7" i="1"/>
  <c r="P8" i="1"/>
  <c r="P9" i="1"/>
  <c r="P12" i="1"/>
  <c r="P13" i="1"/>
  <c r="P14" i="1"/>
  <c r="P15" i="1"/>
  <c r="P16" i="1"/>
  <c r="P17" i="1"/>
  <c r="P19" i="1"/>
  <c r="P20" i="1"/>
  <c r="P21" i="1"/>
  <c r="P22" i="1"/>
  <c r="P23" i="1"/>
  <c r="P24" i="1"/>
  <c r="P2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" i="1"/>
  <c r="M4" i="2"/>
  <c r="M5" i="2"/>
  <c r="M6" i="2"/>
  <c r="M7" i="2"/>
  <c r="M8" i="2"/>
  <c r="M9" i="2"/>
  <c r="M10" i="2"/>
  <c r="M11" i="2"/>
  <c r="M12" i="2"/>
  <c r="M13" i="2"/>
  <c r="M14" i="2"/>
  <c r="M15" i="2"/>
  <c r="M3" i="2"/>
</calcChain>
</file>

<file path=xl/sharedStrings.xml><?xml version="1.0" encoding="utf-8"?>
<sst xmlns="http://schemas.openxmlformats.org/spreadsheetml/2006/main" count="300" uniqueCount="40">
  <si>
    <t>5_12.txt</t>
  </si>
  <si>
    <t>5_14.txt</t>
  </si>
  <si>
    <t>5_15.txt</t>
  </si>
  <si>
    <t>5_16.txt</t>
  </si>
  <si>
    <t>5_17.txt</t>
  </si>
  <si>
    <t>5_18.txt</t>
  </si>
  <si>
    <t>5_19.txt</t>
  </si>
  <si>
    <t>5_20.txt</t>
  </si>
  <si>
    <t>6_28.txt</t>
  </si>
  <si>
    <t>6_47.txt</t>
  </si>
  <si>
    <t>6_50.txt</t>
  </si>
  <si>
    <t>6_53.txt</t>
  </si>
  <si>
    <t>6_62.txt</t>
  </si>
  <si>
    <t>6_107.txt</t>
  </si>
  <si>
    <t>6_110.txt</t>
  </si>
  <si>
    <t>6_111.txt</t>
  </si>
  <si>
    <t>7_830.txt</t>
  </si>
  <si>
    <t>7_845.txt</t>
  </si>
  <si>
    <t>7_846.txt</t>
  </si>
  <si>
    <t>7_847.txt</t>
  </si>
  <si>
    <t>7_848.txt</t>
  </si>
  <si>
    <t>7_850.txt</t>
  </si>
  <si>
    <t>7_851.txt</t>
  </si>
  <si>
    <t>7_852.txt</t>
  </si>
  <si>
    <t xml:space="preserve">32CPU </t>
  </si>
  <si>
    <t>64 CPU</t>
  </si>
  <si>
    <t>Exact CPU</t>
  </si>
  <si>
    <t>pattern</t>
  </si>
  <si>
    <t>Friendster</t>
  </si>
  <si>
    <t>SF10K</t>
  </si>
  <si>
    <t>SF3K</t>
  </si>
  <si>
    <t xml:space="preserve">GPU 100% Zero Copy </t>
  </si>
  <si>
    <t>GPU 100% UM</t>
  </si>
  <si>
    <t xml:space="preserve"> 32 GPU Partial Zero Copy</t>
  </si>
  <si>
    <t xml:space="preserve">32 GPU 100% Zero Copy </t>
  </si>
  <si>
    <t>32 GPU 100% UM</t>
  </si>
  <si>
    <t>64 GPU Partial Zero Copy</t>
  </si>
  <si>
    <t xml:space="preserve">64 GPU 100% Zero Copy </t>
  </si>
  <si>
    <t>64 GPU 100% UM</t>
  </si>
  <si>
    <t xml:space="preserve">GPU 100% 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</si>
</sst>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569CD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1107-85A8-BA4F-A134-D8BF9A0BD9E1}">
  <dimension ref="B2:P78"/>
  <sheetViews>
    <sheetView tabSelected="1" topLeftCell="C1" workbookViewId="0">
      <selection activeCell="K5" sqref="K5"/>
    </sheetView>
  </sheetViews>
  <sheetFormatPr baseColWidth="10" defaultRowHeight="16" x14ac:dyDescent="0.2"/>
  <cols>
    <col min="4" max="4" width="13.6640625" customWidth="1"/>
    <col min="5" max="5" width="18.6640625" customWidth="1"/>
    <col min="9" max="9" width="33.6640625" customWidth="1"/>
    <col min="10" max="11" width="19.6640625" customWidth="1"/>
    <col min="12" max="12" width="24" customWidth="1"/>
    <col min="13" max="13" width="23.1640625" customWidth="1"/>
    <col min="14" max="15" width="22.83203125" customWidth="1"/>
    <col min="16" max="16" width="23.6640625" customWidth="1"/>
    <col min="17" max="17" width="18.1640625" customWidth="1"/>
  </cols>
  <sheetData>
    <row r="2" spans="2:16" x14ac:dyDescent="0.2">
      <c r="B2" t="s">
        <v>28</v>
      </c>
      <c r="C2" t="s">
        <v>27</v>
      </c>
      <c r="D2" t="s">
        <v>26</v>
      </c>
      <c r="E2" t="s">
        <v>24</v>
      </c>
      <c r="F2" t="s">
        <v>25</v>
      </c>
      <c r="G2">
        <v>32</v>
      </c>
      <c r="H2">
        <v>64</v>
      </c>
      <c r="L2" t="s">
        <v>33</v>
      </c>
      <c r="M2" t="s">
        <v>31</v>
      </c>
      <c r="N2" t="s">
        <v>36</v>
      </c>
      <c r="O2" t="s">
        <v>39</v>
      </c>
    </row>
    <row r="3" spans="2:16" x14ac:dyDescent="0.2">
      <c r="C3" t="s">
        <v>0</v>
      </c>
      <c r="D3">
        <v>6744.6210879999999</v>
      </c>
      <c r="E3">
        <v>28.895242</v>
      </c>
      <c r="F3">
        <v>16.160207</v>
      </c>
      <c r="G3">
        <v>2.8530000000000001E-3</v>
      </c>
      <c r="H3">
        <v>1.15E-3</v>
      </c>
      <c r="I3">
        <f>J3*H3</f>
        <v>16.100000000000001</v>
      </c>
      <c r="J3">
        <v>14000</v>
      </c>
      <c r="K3">
        <f>35*(I3/100)</f>
        <v>5.6349999999999998</v>
      </c>
      <c r="L3">
        <v>475.56097349999993</v>
      </c>
      <c r="M3">
        <v>1036.3890005999999</v>
      </c>
      <c r="N3">
        <v>829.59008849999998</v>
      </c>
      <c r="O3" s="1">
        <v>104611.15546920001</v>
      </c>
      <c r="P3">
        <f>N3+G3+K3</f>
        <v>835.22794149999993</v>
      </c>
    </row>
    <row r="4" spans="2:16" x14ac:dyDescent="0.2">
      <c r="C4" t="s">
        <v>1</v>
      </c>
      <c r="D4">
        <v>7005.8199109999996</v>
      </c>
      <c r="E4">
        <v>72.447100000000006</v>
      </c>
      <c r="F4">
        <v>30.256668000000001</v>
      </c>
      <c r="G4">
        <v>7.8490000000000001E-3</v>
      </c>
      <c r="H4">
        <v>7.0629999999999998E-3</v>
      </c>
      <c r="I4">
        <f t="shared" ref="I4:I26" si="0">J4*H4</f>
        <v>98.881999999999991</v>
      </c>
      <c r="J4">
        <v>14000</v>
      </c>
      <c r="K4">
        <f t="shared" ref="K4:K26" si="1">35*(I4/100)</f>
        <v>34.608699999999999</v>
      </c>
      <c r="L4">
        <v>1810.3112190000002</v>
      </c>
      <c r="M4">
        <v>4343.6135736000006</v>
      </c>
      <c r="N4">
        <v>1711.57251</v>
      </c>
      <c r="O4">
        <v>230182.14375000002</v>
      </c>
      <c r="P4">
        <f t="shared" ref="P4:P26" si="2">N4+G4+K4</f>
        <v>1746.189059</v>
      </c>
    </row>
    <row r="5" spans="2:16" x14ac:dyDescent="0.2">
      <c r="C5" t="s">
        <v>2</v>
      </c>
      <c r="D5">
        <v>636.47609699999998</v>
      </c>
      <c r="E5">
        <v>9.7633419999999997</v>
      </c>
      <c r="F5">
        <v>9.6627039999999997</v>
      </c>
      <c r="G5">
        <v>3.4499999999999998E-4</v>
      </c>
      <c r="H5">
        <v>2.2900000000000001E-4</v>
      </c>
      <c r="I5">
        <f t="shared" si="0"/>
        <v>3.206</v>
      </c>
      <c r="J5">
        <v>14000</v>
      </c>
      <c r="K5">
        <f t="shared" si="1"/>
        <v>1.1220999999999999</v>
      </c>
      <c r="L5">
        <v>36.636574499999995</v>
      </c>
      <c r="M5">
        <v>47.643031799999996</v>
      </c>
      <c r="N5">
        <v>37.261822499999994</v>
      </c>
      <c r="O5">
        <v>1162.4528322000001</v>
      </c>
      <c r="P5">
        <f t="shared" si="2"/>
        <v>38.3842675</v>
      </c>
    </row>
    <row r="6" spans="2:16" x14ac:dyDescent="0.2">
      <c r="C6" t="s">
        <v>3</v>
      </c>
      <c r="D6">
        <v>817.922371</v>
      </c>
      <c r="E6">
        <v>4.6282730000000001</v>
      </c>
      <c r="F6">
        <v>2.4569540000000001</v>
      </c>
      <c r="G6">
        <v>6.5570000000000003E-3</v>
      </c>
      <c r="H6">
        <v>6.5570000000000003E-3</v>
      </c>
      <c r="I6">
        <f t="shared" si="0"/>
        <v>91.798000000000002</v>
      </c>
      <c r="J6">
        <v>14000</v>
      </c>
      <c r="K6">
        <f t="shared" si="1"/>
        <v>32.129300000000001</v>
      </c>
      <c r="L6">
        <v>125.47277100000001</v>
      </c>
      <c r="M6">
        <v>185.25819419999999</v>
      </c>
      <c r="N6">
        <v>130.959069</v>
      </c>
      <c r="O6">
        <v>1287.7185060000002</v>
      </c>
      <c r="P6">
        <f t="shared" si="2"/>
        <v>163.09492599999999</v>
      </c>
    </row>
    <row r="7" spans="2:16" x14ac:dyDescent="0.2">
      <c r="C7" t="s">
        <v>4</v>
      </c>
      <c r="D7">
        <v>123.74960299999999</v>
      </c>
      <c r="E7">
        <v>8.6858590000000007</v>
      </c>
      <c r="F7">
        <v>2.1915629999999999</v>
      </c>
      <c r="G7">
        <v>1.73E-4</v>
      </c>
      <c r="H7">
        <v>1.27E-4</v>
      </c>
      <c r="I7">
        <f t="shared" si="0"/>
        <v>1.778</v>
      </c>
      <c r="J7">
        <v>14000</v>
      </c>
      <c r="K7">
        <f t="shared" si="1"/>
        <v>0.62230000000000008</v>
      </c>
      <c r="L7">
        <v>86.642686499999996</v>
      </c>
      <c r="M7">
        <v>147.0394368</v>
      </c>
      <c r="N7">
        <v>89.594878500000007</v>
      </c>
      <c r="O7">
        <v>1243.1867436</v>
      </c>
      <c r="P7">
        <f t="shared" si="2"/>
        <v>90.217351500000007</v>
      </c>
    </row>
    <row r="8" spans="2:16" x14ac:dyDescent="0.2">
      <c r="C8" t="s">
        <v>5</v>
      </c>
      <c r="D8">
        <v>114.34394399999999</v>
      </c>
      <c r="E8">
        <v>2.0654240000000001</v>
      </c>
      <c r="F8">
        <v>1.9104319999999999</v>
      </c>
      <c r="G8">
        <v>2.1100000000000001E-4</v>
      </c>
      <c r="H8">
        <v>1.56E-4</v>
      </c>
      <c r="I8">
        <f t="shared" si="0"/>
        <v>2.1840000000000002</v>
      </c>
      <c r="J8">
        <v>14000</v>
      </c>
      <c r="K8">
        <f t="shared" si="1"/>
        <v>0.76440000000000008</v>
      </c>
      <c r="L8">
        <v>72.016897499999999</v>
      </c>
      <c r="M8">
        <v>104.30110259999999</v>
      </c>
      <c r="N8">
        <v>72.577537500000005</v>
      </c>
      <c r="O8">
        <v>2339.7266610000001</v>
      </c>
      <c r="P8">
        <f t="shared" si="2"/>
        <v>73.342148499999993</v>
      </c>
    </row>
    <row r="9" spans="2:16" x14ac:dyDescent="0.2">
      <c r="C9" t="s">
        <v>6</v>
      </c>
      <c r="D9">
        <v>29.320515</v>
      </c>
      <c r="E9">
        <v>0.52780899999999997</v>
      </c>
      <c r="F9">
        <v>0.53467399999999998</v>
      </c>
      <c r="G9">
        <v>8.2999999999999998E-5</v>
      </c>
      <c r="H9">
        <v>8.2000000000000001E-5</v>
      </c>
      <c r="I9">
        <f t="shared" si="0"/>
        <v>1.1479999999999999</v>
      </c>
      <c r="J9">
        <v>14000</v>
      </c>
      <c r="K9">
        <f t="shared" si="1"/>
        <v>0.40179999999999993</v>
      </c>
      <c r="L9">
        <v>22.09872</v>
      </c>
      <c r="M9">
        <v>27.732787200000001</v>
      </c>
      <c r="N9">
        <v>20.100096000000001</v>
      </c>
      <c r="O9">
        <v>756.94323059999999</v>
      </c>
      <c r="P9">
        <f t="shared" si="2"/>
        <v>20.501979000000002</v>
      </c>
    </row>
    <row r="10" spans="2:16" x14ac:dyDescent="0.2">
      <c r="C10" t="s">
        <v>7</v>
      </c>
      <c r="D10">
        <v>5.790368</v>
      </c>
      <c r="E10">
        <v>0.404117</v>
      </c>
      <c r="F10">
        <v>0.33025399999999999</v>
      </c>
      <c r="G10">
        <v>2.5999999999999998E-5</v>
      </c>
      <c r="H10">
        <v>2.5999999999999998E-5</v>
      </c>
      <c r="I10">
        <f t="shared" si="0"/>
        <v>0.36399999999999999</v>
      </c>
      <c r="J10">
        <v>14000</v>
      </c>
      <c r="K10">
        <f t="shared" si="1"/>
        <v>0.12740000000000001</v>
      </c>
      <c r="L10">
        <v>19.739135999999998</v>
      </c>
      <c r="M10">
        <v>26.295091199999998</v>
      </c>
      <c r="N10">
        <v>21.843456</v>
      </c>
      <c r="O10">
        <v>748.28205000000003</v>
      </c>
      <c r="P10">
        <f t="shared" si="2"/>
        <v>21.970882</v>
      </c>
    </row>
    <row r="11" spans="2:16" x14ac:dyDescent="0.2">
      <c r="C11" t="s">
        <v>8</v>
      </c>
      <c r="D11">
        <v>52702.571701000001</v>
      </c>
      <c r="E11">
        <v>26.296522</v>
      </c>
      <c r="F11">
        <v>7.7211379999999998</v>
      </c>
      <c r="G11">
        <v>8.0129999999999993E-3</v>
      </c>
      <c r="H11">
        <v>6.7299999999999999E-3</v>
      </c>
      <c r="I11">
        <f t="shared" si="0"/>
        <v>94.22</v>
      </c>
      <c r="J11">
        <v>14000</v>
      </c>
      <c r="K11">
        <f t="shared" si="1"/>
        <v>32.977000000000004</v>
      </c>
      <c r="L11">
        <v>31369.092773999997</v>
      </c>
      <c r="M11">
        <v>37514.703515399997</v>
      </c>
      <c r="N11">
        <v>31286.305663500003</v>
      </c>
      <c r="O11">
        <v>41157.907030800001</v>
      </c>
      <c r="P11">
        <f t="shared" si="2"/>
        <v>31319.290676500001</v>
      </c>
    </row>
    <row r="12" spans="2:16" x14ac:dyDescent="0.2">
      <c r="C12" t="s">
        <v>9</v>
      </c>
      <c r="D12">
        <v>838.00935400000003</v>
      </c>
      <c r="E12">
        <v>1.196566</v>
      </c>
      <c r="F12">
        <v>0.72453999999999996</v>
      </c>
      <c r="G12">
        <v>2.4800000000000001E-4</v>
      </c>
      <c r="H12">
        <v>1.55E-4</v>
      </c>
      <c r="I12">
        <f t="shared" si="0"/>
        <v>2.17</v>
      </c>
      <c r="J12">
        <v>14000</v>
      </c>
      <c r="K12">
        <f t="shared" si="1"/>
        <v>0.75950000000000006</v>
      </c>
      <c r="L12">
        <v>140.07091199999999</v>
      </c>
      <c r="M12">
        <v>221.5950354</v>
      </c>
      <c r="N12">
        <v>132.5721585</v>
      </c>
      <c r="O12">
        <v>1307.0518074000001</v>
      </c>
      <c r="P12">
        <f t="shared" si="2"/>
        <v>133.3319065</v>
      </c>
    </row>
    <row r="13" spans="2:16" x14ac:dyDescent="0.2">
      <c r="C13" t="s">
        <v>10</v>
      </c>
      <c r="D13">
        <v>8937.4628780000003</v>
      </c>
      <c r="E13">
        <v>9.8600689999999993</v>
      </c>
      <c r="F13">
        <v>2.2852800000000002</v>
      </c>
      <c r="G13">
        <v>6.5779999999999996E-3</v>
      </c>
      <c r="H13">
        <v>6.5620000000000001E-3</v>
      </c>
      <c r="I13">
        <f t="shared" si="0"/>
        <v>91.867999999999995</v>
      </c>
      <c r="J13">
        <v>14000</v>
      </c>
      <c r="K13">
        <f t="shared" si="1"/>
        <v>32.153799999999997</v>
      </c>
      <c r="L13">
        <v>565.50604199999998</v>
      </c>
      <c r="M13">
        <v>654.4318356</v>
      </c>
      <c r="N13">
        <v>525.73745700000006</v>
      </c>
      <c r="O13">
        <v>3246.6825432000001</v>
      </c>
      <c r="P13">
        <f t="shared" si="2"/>
        <v>557.8978350000001</v>
      </c>
    </row>
    <row r="14" spans="2:16" x14ac:dyDescent="0.2">
      <c r="C14" t="s">
        <v>11</v>
      </c>
      <c r="D14">
        <v>5425.6043019999997</v>
      </c>
      <c r="E14">
        <v>3.458421</v>
      </c>
      <c r="F14">
        <v>2.4950290000000002</v>
      </c>
      <c r="G14">
        <v>6.5659999999999998E-3</v>
      </c>
      <c r="H14">
        <v>6.5570000000000003E-3</v>
      </c>
      <c r="I14">
        <f t="shared" si="0"/>
        <v>91.798000000000002</v>
      </c>
      <c r="J14">
        <v>14000</v>
      </c>
      <c r="K14">
        <f t="shared" si="1"/>
        <v>32.129300000000001</v>
      </c>
      <c r="L14">
        <v>10391.964843</v>
      </c>
      <c r="M14">
        <v>16345.886133599999</v>
      </c>
      <c r="N14">
        <v>10402.822998</v>
      </c>
      <c r="P14">
        <f t="shared" si="2"/>
        <v>10434.958864</v>
      </c>
    </row>
    <row r="15" spans="2:16" x14ac:dyDescent="0.2">
      <c r="C15" t="s">
        <v>12</v>
      </c>
      <c r="D15">
        <v>76238.636952999994</v>
      </c>
      <c r="E15">
        <v>14.164678</v>
      </c>
      <c r="F15">
        <v>8.6313779999999998</v>
      </c>
      <c r="G15">
        <v>5.5999999999999995E-4</v>
      </c>
      <c r="H15">
        <v>2.8600000000000001E-4</v>
      </c>
      <c r="I15">
        <f t="shared" si="0"/>
        <v>4.0040000000000004</v>
      </c>
      <c r="J15">
        <v>14000</v>
      </c>
      <c r="K15">
        <f t="shared" si="1"/>
        <v>1.4014000000000002</v>
      </c>
      <c r="L15">
        <v>976.69482449999987</v>
      </c>
      <c r="M15">
        <v>1215.9808596</v>
      </c>
      <c r="N15">
        <v>959.032287</v>
      </c>
      <c r="P15">
        <f t="shared" si="2"/>
        <v>960.43424699999991</v>
      </c>
    </row>
    <row r="16" spans="2:16" x14ac:dyDescent="0.2">
      <c r="C16" t="s">
        <v>13</v>
      </c>
      <c r="D16">
        <v>272.986447</v>
      </c>
      <c r="E16">
        <v>0.58522700000000005</v>
      </c>
      <c r="F16">
        <v>0.541103</v>
      </c>
      <c r="G16">
        <v>1.25E-4</v>
      </c>
      <c r="H16">
        <v>1.21E-4</v>
      </c>
      <c r="I16">
        <f t="shared" si="0"/>
        <v>1.694</v>
      </c>
      <c r="J16">
        <v>14000</v>
      </c>
      <c r="K16">
        <f t="shared" si="1"/>
        <v>0.59289999999999998</v>
      </c>
      <c r="L16">
        <v>343.36511999999999</v>
      </c>
      <c r="M16">
        <v>618.44891940000002</v>
      </c>
      <c r="N16">
        <v>388.45903050000004</v>
      </c>
      <c r="P16">
        <f t="shared" si="2"/>
        <v>389.05205550000005</v>
      </c>
    </row>
    <row r="17" spans="2:16" x14ac:dyDescent="0.2">
      <c r="C17" t="s">
        <v>14</v>
      </c>
      <c r="D17">
        <v>87.123565999999997</v>
      </c>
      <c r="E17">
        <v>2.7357559999999999</v>
      </c>
      <c r="F17">
        <v>0.43787500000000001</v>
      </c>
      <c r="G17">
        <v>8.1000000000000004E-5</v>
      </c>
      <c r="H17">
        <v>8.1000000000000004E-5</v>
      </c>
      <c r="I17">
        <f t="shared" si="0"/>
        <v>1.1340000000000001</v>
      </c>
      <c r="J17">
        <v>14000</v>
      </c>
      <c r="K17">
        <f t="shared" si="1"/>
        <v>0.39690000000000003</v>
      </c>
      <c r="L17">
        <v>39.942143999999999</v>
      </c>
      <c r="M17">
        <v>50.253006600000006</v>
      </c>
      <c r="N17">
        <v>34.446336000000002</v>
      </c>
      <c r="P17">
        <f t="shared" si="2"/>
        <v>34.843317000000006</v>
      </c>
    </row>
    <row r="18" spans="2:16" x14ac:dyDescent="0.2">
      <c r="C18" t="s">
        <v>15</v>
      </c>
      <c r="D18">
        <v>23.368838</v>
      </c>
      <c r="E18">
        <v>0.32533899999999999</v>
      </c>
      <c r="F18">
        <v>0.31819199999999997</v>
      </c>
      <c r="G18">
        <v>2.5999999999999998E-5</v>
      </c>
      <c r="H18">
        <v>2.5999999999999998E-5</v>
      </c>
      <c r="I18">
        <f t="shared" si="0"/>
        <v>0.36399999999999999</v>
      </c>
      <c r="J18">
        <v>14000</v>
      </c>
      <c r="K18">
        <f t="shared" si="1"/>
        <v>0.12740000000000001</v>
      </c>
      <c r="L18">
        <v>27.8123535</v>
      </c>
      <c r="M18">
        <v>37.684224</v>
      </c>
      <c r="N18">
        <v>32.776368000000005</v>
      </c>
      <c r="P18">
        <f t="shared" si="2"/>
        <v>32.903794000000005</v>
      </c>
    </row>
    <row r="19" spans="2:16" x14ac:dyDescent="0.2">
      <c r="C19" t="s">
        <v>16</v>
      </c>
      <c r="D19">
        <v>2372.253553</v>
      </c>
      <c r="E19">
        <v>0.71779199999999999</v>
      </c>
      <c r="F19">
        <v>0.65621700000000005</v>
      </c>
      <c r="G19">
        <v>1.08E-4</v>
      </c>
      <c r="H19">
        <v>1.02E-4</v>
      </c>
      <c r="I19">
        <f t="shared" si="0"/>
        <v>1.4279999999999999</v>
      </c>
      <c r="J19">
        <v>14000</v>
      </c>
      <c r="K19">
        <f t="shared" si="1"/>
        <v>0.49979999999999997</v>
      </c>
      <c r="L19">
        <v>8718.6950684999993</v>
      </c>
      <c r="M19">
        <v>12810.2950188</v>
      </c>
      <c r="N19">
        <v>8446.9248045000004</v>
      </c>
      <c r="P19">
        <f t="shared" si="2"/>
        <v>8447.4247125000002</v>
      </c>
    </row>
    <row r="20" spans="2:16" x14ac:dyDescent="0.2">
      <c r="C20" t="s">
        <v>17</v>
      </c>
      <c r="D20">
        <v>49896.469790000003</v>
      </c>
      <c r="E20">
        <v>6.0591780000000002</v>
      </c>
      <c r="F20">
        <v>6.2589350000000001</v>
      </c>
      <c r="G20">
        <v>1.9799999999999999E-4</v>
      </c>
      <c r="H20">
        <v>1.56E-4</v>
      </c>
      <c r="I20">
        <f t="shared" si="0"/>
        <v>2.1840000000000002</v>
      </c>
      <c r="J20">
        <v>14000</v>
      </c>
      <c r="K20">
        <f t="shared" si="1"/>
        <v>0.76440000000000008</v>
      </c>
      <c r="L20">
        <v>11155.1689455</v>
      </c>
      <c r="M20">
        <v>23261.980078799999</v>
      </c>
      <c r="N20">
        <v>12082.135986000001</v>
      </c>
      <c r="P20">
        <f t="shared" si="2"/>
        <v>12082.900584000001</v>
      </c>
    </row>
    <row r="21" spans="2:16" x14ac:dyDescent="0.2">
      <c r="C21" t="s">
        <v>18</v>
      </c>
      <c r="D21">
        <v>30223.819597999998</v>
      </c>
      <c r="E21">
        <v>2.4167529999999999</v>
      </c>
      <c r="F21">
        <v>1.527363</v>
      </c>
      <c r="G21">
        <v>2.41E-4</v>
      </c>
      <c r="H21">
        <v>1.55E-4</v>
      </c>
      <c r="I21">
        <f t="shared" si="0"/>
        <v>2.17</v>
      </c>
      <c r="J21">
        <v>14000</v>
      </c>
      <c r="K21">
        <f t="shared" si="1"/>
        <v>0.75950000000000006</v>
      </c>
      <c r="L21">
        <v>12878.169433499999</v>
      </c>
      <c r="M21">
        <v>20602.951171200002</v>
      </c>
      <c r="N21">
        <v>14305.831054500002</v>
      </c>
      <c r="P21">
        <f t="shared" si="2"/>
        <v>14306.590795500002</v>
      </c>
    </row>
    <row r="22" spans="2:16" x14ac:dyDescent="0.2">
      <c r="C22" t="s">
        <v>19</v>
      </c>
      <c r="D22">
        <v>43329.177020000003</v>
      </c>
      <c r="E22">
        <v>2.3165909999999998</v>
      </c>
      <c r="F22">
        <v>1.541134</v>
      </c>
      <c r="G22">
        <v>1.4999999999999999E-4</v>
      </c>
      <c r="H22">
        <v>1.3999999999999999E-4</v>
      </c>
      <c r="I22">
        <f t="shared" si="0"/>
        <v>1.9599999999999997</v>
      </c>
      <c r="J22">
        <v>14000</v>
      </c>
      <c r="K22">
        <f t="shared" si="1"/>
        <v>0.68599999999999983</v>
      </c>
      <c r="L22">
        <v>918.32675100000006</v>
      </c>
      <c r="M22">
        <v>1788.2892342</v>
      </c>
      <c r="N22">
        <v>701.30689949999999</v>
      </c>
      <c r="P22">
        <f t="shared" si="2"/>
        <v>701.99304949999998</v>
      </c>
    </row>
    <row r="23" spans="2:16" x14ac:dyDescent="0.2">
      <c r="C23" t="s">
        <v>20</v>
      </c>
      <c r="D23">
        <v>1178.0285839999999</v>
      </c>
      <c r="E23">
        <v>0.53722700000000001</v>
      </c>
      <c r="F23">
        <v>0.48441800000000002</v>
      </c>
      <c r="G23">
        <v>1.21E-4</v>
      </c>
      <c r="H23">
        <v>1.21E-4</v>
      </c>
      <c r="I23">
        <f t="shared" si="0"/>
        <v>1.694</v>
      </c>
      <c r="J23">
        <v>14000</v>
      </c>
      <c r="K23">
        <f t="shared" si="1"/>
        <v>0.59289999999999998</v>
      </c>
      <c r="L23">
        <v>2045.0165400000001</v>
      </c>
      <c r="M23">
        <v>4309.6521978000001</v>
      </c>
      <c r="N23">
        <v>2087.2622684999997</v>
      </c>
      <c r="P23">
        <f t="shared" si="2"/>
        <v>2087.8552894999998</v>
      </c>
    </row>
    <row r="24" spans="2:16" x14ac:dyDescent="0.2">
      <c r="C24" t="s">
        <v>21</v>
      </c>
      <c r="D24">
        <v>4751.9687590000003</v>
      </c>
      <c r="E24">
        <v>0.71837300000000004</v>
      </c>
      <c r="F24">
        <v>0.63701300000000005</v>
      </c>
      <c r="G24">
        <v>1.03E-4</v>
      </c>
      <c r="H24">
        <v>1.01E-4</v>
      </c>
      <c r="I24">
        <f t="shared" si="0"/>
        <v>1.4139999999999999</v>
      </c>
      <c r="J24">
        <v>14000</v>
      </c>
      <c r="K24">
        <f t="shared" si="1"/>
        <v>0.49490000000000001</v>
      </c>
      <c r="L24">
        <v>1051.3919685000001</v>
      </c>
      <c r="M24">
        <v>1743.1271856000001</v>
      </c>
      <c r="N24">
        <v>1307.3599545</v>
      </c>
      <c r="P24">
        <f t="shared" si="2"/>
        <v>1307.8549575</v>
      </c>
    </row>
    <row r="25" spans="2:16" x14ac:dyDescent="0.2">
      <c r="C25" t="s">
        <v>22</v>
      </c>
      <c r="D25">
        <v>323.434415</v>
      </c>
      <c r="E25">
        <v>0.44952500000000001</v>
      </c>
      <c r="F25">
        <v>0.440799</v>
      </c>
      <c r="G25">
        <v>8.1000000000000004E-5</v>
      </c>
      <c r="H25">
        <v>8.1000000000000004E-5</v>
      </c>
      <c r="I25">
        <f t="shared" si="0"/>
        <v>1.1340000000000001</v>
      </c>
      <c r="J25">
        <v>14000</v>
      </c>
      <c r="K25">
        <f t="shared" si="1"/>
        <v>0.39690000000000003</v>
      </c>
      <c r="L25">
        <v>91.132416000000006</v>
      </c>
      <c r="M25">
        <v>140.83891740000001</v>
      </c>
      <c r="N25">
        <v>81.240864000000002</v>
      </c>
      <c r="P25">
        <f t="shared" si="2"/>
        <v>81.637844999999999</v>
      </c>
    </row>
    <row r="26" spans="2:16" x14ac:dyDescent="0.2">
      <c r="C26" t="s">
        <v>23</v>
      </c>
      <c r="D26">
        <v>65.771309000000002</v>
      </c>
      <c r="E26">
        <v>0.32128099999999998</v>
      </c>
      <c r="F26">
        <v>0.31589899999999999</v>
      </c>
      <c r="G26">
        <v>2.5999999999999998E-5</v>
      </c>
      <c r="H26">
        <v>2.5999999999999998E-5</v>
      </c>
      <c r="I26">
        <f t="shared" si="0"/>
        <v>0.36399999999999999</v>
      </c>
      <c r="J26">
        <v>14000</v>
      </c>
      <c r="K26">
        <f t="shared" si="1"/>
        <v>0.12740000000000001</v>
      </c>
      <c r="L26">
        <v>55.2852465</v>
      </c>
      <c r="M26">
        <v>90.020043000000001</v>
      </c>
      <c r="N26">
        <v>74.945759999999993</v>
      </c>
      <c r="P26">
        <f t="shared" si="2"/>
        <v>75.073185999999993</v>
      </c>
    </row>
    <row r="28" spans="2:16" x14ac:dyDescent="0.2">
      <c r="B28" t="s">
        <v>29</v>
      </c>
      <c r="C28" t="s">
        <v>27</v>
      </c>
      <c r="D28" t="s">
        <v>26</v>
      </c>
      <c r="E28" t="s">
        <v>24</v>
      </c>
      <c r="F28" t="s">
        <v>25</v>
      </c>
      <c r="G28">
        <v>32</v>
      </c>
      <c r="H28">
        <v>64</v>
      </c>
      <c r="L28" t="s">
        <v>33</v>
      </c>
      <c r="M28" t="s">
        <v>34</v>
      </c>
      <c r="N28" t="s">
        <v>36</v>
      </c>
    </row>
    <row r="29" spans="2:16" x14ac:dyDescent="0.2">
      <c r="C29" t="s">
        <v>0</v>
      </c>
      <c r="D29">
        <v>2476.8524590000002</v>
      </c>
      <c r="E29">
        <v>15.619655</v>
      </c>
      <c r="F29">
        <v>10.124802000000001</v>
      </c>
      <c r="G29">
        <v>2.3317000000000001E-2</v>
      </c>
      <c r="H29">
        <v>9.9939999999999994E-3</v>
      </c>
      <c r="L29">
        <v>1537.9508055000001</v>
      </c>
      <c r="M29">
        <v>2115.4056156000001</v>
      </c>
    </row>
    <row r="30" spans="2:16" x14ac:dyDescent="0.2">
      <c r="C30" t="s">
        <v>1</v>
      </c>
      <c r="D30">
        <v>7330.7329559999998</v>
      </c>
      <c r="E30">
        <v>35.499563000000002</v>
      </c>
      <c r="F30">
        <v>19.596544000000002</v>
      </c>
      <c r="G30">
        <v>4.8038999999999998E-2</v>
      </c>
      <c r="H30">
        <v>3.7151999999999998E-2</v>
      </c>
      <c r="L30">
        <v>2970.0525509999998</v>
      </c>
      <c r="M30">
        <v>9386.1202140000005</v>
      </c>
    </row>
    <row r="31" spans="2:16" x14ac:dyDescent="0.2">
      <c r="C31" t="s">
        <v>2</v>
      </c>
      <c r="D31">
        <v>247.19865100000001</v>
      </c>
      <c r="E31">
        <v>3.074808</v>
      </c>
      <c r="F31">
        <v>3.677486</v>
      </c>
      <c r="G31">
        <v>3.7290000000000001E-3</v>
      </c>
      <c r="H31">
        <v>2.1250000000000002E-3</v>
      </c>
      <c r="L31">
        <v>27.499007999999996</v>
      </c>
      <c r="M31">
        <v>65.370699000000002</v>
      </c>
    </row>
    <row r="32" spans="2:16" x14ac:dyDescent="0.2">
      <c r="C32" t="s">
        <v>3</v>
      </c>
      <c r="D32">
        <v>510.85022700000002</v>
      </c>
      <c r="E32">
        <v>2.6128650000000002</v>
      </c>
      <c r="F32">
        <v>2.1272280000000001</v>
      </c>
      <c r="G32">
        <v>3.2704999999999998E-2</v>
      </c>
      <c r="H32">
        <v>3.2704999999999998E-2</v>
      </c>
      <c r="L32">
        <v>120.58982850000001</v>
      </c>
      <c r="M32">
        <v>374.85895320000003</v>
      </c>
    </row>
    <row r="33" spans="3:13" x14ac:dyDescent="0.2">
      <c r="C33" t="s">
        <v>4</v>
      </c>
      <c r="D33">
        <v>47.572654999999997</v>
      </c>
      <c r="E33">
        <v>0.84086899999999998</v>
      </c>
      <c r="F33">
        <v>0.80069100000000004</v>
      </c>
      <c r="G33">
        <v>1.5529999999999999E-3</v>
      </c>
      <c r="H33">
        <v>1.0950000000000001E-3</v>
      </c>
      <c r="L33">
        <v>64.224769500000008</v>
      </c>
      <c r="M33">
        <v>216.26265600000002</v>
      </c>
    </row>
    <row r="34" spans="3:13" x14ac:dyDescent="0.2">
      <c r="C34" t="s">
        <v>5</v>
      </c>
      <c r="D34">
        <v>61.142930999999997</v>
      </c>
      <c r="E34">
        <v>2.1635040000000001</v>
      </c>
      <c r="F34">
        <v>1.9656990000000001</v>
      </c>
      <c r="G34">
        <v>2.003E-3</v>
      </c>
      <c r="H34">
        <v>1.364E-3</v>
      </c>
      <c r="L34">
        <v>75.085825499999999</v>
      </c>
      <c r="M34">
        <v>174.5783424</v>
      </c>
    </row>
    <row r="35" spans="3:13" x14ac:dyDescent="0.2">
      <c r="C35" t="s">
        <v>6</v>
      </c>
      <c r="D35">
        <v>18.990760999999999</v>
      </c>
      <c r="E35">
        <v>0.79220299999999999</v>
      </c>
      <c r="F35">
        <v>0.76942500000000003</v>
      </c>
      <c r="G35">
        <v>6.7900000000000002E-4</v>
      </c>
      <c r="H35">
        <v>6.6799999999999997E-4</v>
      </c>
      <c r="L35">
        <v>13.99296</v>
      </c>
      <c r="M35">
        <v>29.924351999999999</v>
      </c>
    </row>
    <row r="36" spans="3:13" x14ac:dyDescent="0.2">
      <c r="C36" t="s">
        <v>7</v>
      </c>
      <c r="D36">
        <v>5.5053200000000002</v>
      </c>
      <c r="E36">
        <v>0.42142299999999999</v>
      </c>
      <c r="F36">
        <v>0.33704899999999999</v>
      </c>
      <c r="G36">
        <v>2.3499999999999999E-4</v>
      </c>
      <c r="H36">
        <v>2.3499999999999999E-4</v>
      </c>
      <c r="L36">
        <v>12.8256</v>
      </c>
      <c r="M36">
        <v>18.321407999999998</v>
      </c>
    </row>
    <row r="37" spans="3:13" x14ac:dyDescent="0.2">
      <c r="C37" t="s">
        <v>8</v>
      </c>
      <c r="D37">
        <v>32678.946369000001</v>
      </c>
      <c r="E37">
        <v>8.6269570000000009</v>
      </c>
      <c r="F37">
        <v>3.259735</v>
      </c>
      <c r="G37">
        <v>4.9875000000000003E-2</v>
      </c>
      <c r="H37">
        <v>3.4778000000000003E-2</v>
      </c>
      <c r="L37">
        <v>38984.337890999996</v>
      </c>
      <c r="M37">
        <v>46881.506249999999</v>
      </c>
    </row>
    <row r="38" spans="3:13" x14ac:dyDescent="0.2">
      <c r="C38" t="s">
        <v>9</v>
      </c>
      <c r="D38">
        <v>127.653784</v>
      </c>
      <c r="E38">
        <v>2.0928279999999999</v>
      </c>
      <c r="F38">
        <v>0.84313199999999999</v>
      </c>
      <c r="G38">
        <v>2.297E-3</v>
      </c>
      <c r="H38">
        <v>1.3339999999999999E-3</v>
      </c>
      <c r="L38">
        <v>28.273152</v>
      </c>
      <c r="M38">
        <v>34.567372800000001</v>
      </c>
    </row>
    <row r="39" spans="3:13" x14ac:dyDescent="0.2">
      <c r="C39" t="s">
        <v>10</v>
      </c>
      <c r="D39">
        <v>4266.941769</v>
      </c>
      <c r="E39">
        <v>2.917443</v>
      </c>
      <c r="F39">
        <v>2.6191070000000001</v>
      </c>
      <c r="G39">
        <v>3.3000000000000002E-2</v>
      </c>
      <c r="H39">
        <v>3.2800999999999997E-2</v>
      </c>
      <c r="L39">
        <v>305.525757</v>
      </c>
      <c r="M39">
        <v>386.9042814</v>
      </c>
    </row>
    <row r="40" spans="3:13" x14ac:dyDescent="0.2">
      <c r="C40" t="s">
        <v>11</v>
      </c>
      <c r="D40">
        <v>2357.8426239999999</v>
      </c>
      <c r="E40">
        <v>3.3942359999999998</v>
      </c>
      <c r="F40">
        <v>3.138649</v>
      </c>
      <c r="G40">
        <v>3.2750000000000001E-2</v>
      </c>
      <c r="H40">
        <v>3.2710000000000003E-2</v>
      </c>
      <c r="L40">
        <v>1526.8960875</v>
      </c>
      <c r="M40">
        <v>3791.3150394000004</v>
      </c>
    </row>
    <row r="41" spans="3:13" x14ac:dyDescent="0.2">
      <c r="C41" t="s">
        <v>12</v>
      </c>
      <c r="D41">
        <v>7120.3937480000004</v>
      </c>
      <c r="E41">
        <v>6.5395539999999999</v>
      </c>
      <c r="F41">
        <v>4.9203390000000002</v>
      </c>
      <c r="G41">
        <v>6.4419999999999998E-3</v>
      </c>
      <c r="H41">
        <v>2.787E-3</v>
      </c>
      <c r="L41">
        <v>213.4963305</v>
      </c>
      <c r="M41">
        <v>446.0267394</v>
      </c>
    </row>
    <row r="42" spans="3:13" x14ac:dyDescent="0.2">
      <c r="C42" t="s">
        <v>13</v>
      </c>
      <c r="D42">
        <v>71.442847</v>
      </c>
      <c r="E42">
        <v>0.77539499999999995</v>
      </c>
      <c r="F42">
        <v>0.77409799999999995</v>
      </c>
      <c r="G42">
        <v>1.021E-3</v>
      </c>
      <c r="H42">
        <v>1.0139999999999999E-3</v>
      </c>
      <c r="L42">
        <v>65.726979</v>
      </c>
      <c r="M42">
        <v>163.74251340000001</v>
      </c>
    </row>
    <row r="43" spans="3:13" x14ac:dyDescent="0.2">
      <c r="C43" t="s">
        <v>14</v>
      </c>
      <c r="D43">
        <v>32.154255999999997</v>
      </c>
      <c r="E43">
        <v>0.57120599999999999</v>
      </c>
      <c r="F43">
        <v>0.57661899999999999</v>
      </c>
      <c r="G43">
        <v>6.6399999999999999E-4</v>
      </c>
      <c r="H43">
        <v>6.6399999999999999E-4</v>
      </c>
      <c r="L43">
        <v>22.030896000000002</v>
      </c>
      <c r="M43">
        <v>48.673382400000001</v>
      </c>
    </row>
    <row r="44" spans="3:13" x14ac:dyDescent="0.2">
      <c r="C44" t="s">
        <v>15</v>
      </c>
      <c r="D44">
        <v>8.3783569999999994</v>
      </c>
      <c r="E44">
        <v>0.36516300000000002</v>
      </c>
      <c r="F44">
        <v>0.31025900000000001</v>
      </c>
      <c r="G44">
        <v>2.3499999999999999E-4</v>
      </c>
      <c r="H44">
        <v>2.3499999999999999E-4</v>
      </c>
      <c r="L44">
        <v>15.126528</v>
      </c>
      <c r="M44">
        <v>27.155865599999998</v>
      </c>
    </row>
    <row r="45" spans="3:13" x14ac:dyDescent="0.2">
      <c r="C45" t="s">
        <v>16</v>
      </c>
      <c r="D45">
        <v>215.83198300000001</v>
      </c>
      <c r="E45">
        <v>0.80148200000000003</v>
      </c>
      <c r="F45">
        <v>0.77692300000000003</v>
      </c>
      <c r="G45">
        <v>8.5400000000000005E-4</v>
      </c>
      <c r="H45">
        <v>8.4699999999999999E-4</v>
      </c>
      <c r="L45">
        <v>82.113023999999996</v>
      </c>
      <c r="M45">
        <v>214.29227159999999</v>
      </c>
    </row>
    <row r="46" spans="3:13" x14ac:dyDescent="0.2">
      <c r="C46" t="s">
        <v>17</v>
      </c>
      <c r="D46">
        <v>368.93631900000003</v>
      </c>
      <c r="E46">
        <v>2.4615619999999998</v>
      </c>
      <c r="F46">
        <v>2.350587</v>
      </c>
      <c r="G46">
        <v>1.5150000000000001E-3</v>
      </c>
      <c r="H46">
        <v>1.2949999999999999E-3</v>
      </c>
      <c r="L46">
        <v>2169.0102539999998</v>
      </c>
      <c r="M46">
        <v>3378.6336186000003</v>
      </c>
    </row>
    <row r="47" spans="3:13" x14ac:dyDescent="0.2">
      <c r="C47" t="s">
        <v>18</v>
      </c>
      <c r="D47">
        <v>420.31169999999997</v>
      </c>
      <c r="E47">
        <v>2.3710599999999999</v>
      </c>
      <c r="F47">
        <v>2.2435049999999999</v>
      </c>
      <c r="G47">
        <v>2.2460000000000002E-3</v>
      </c>
      <c r="H47">
        <v>1.3370000000000001E-3</v>
      </c>
      <c r="L47">
        <v>159.67641449999999</v>
      </c>
      <c r="M47">
        <v>452.4668982</v>
      </c>
    </row>
    <row r="48" spans="3:13" x14ac:dyDescent="0.2">
      <c r="C48" t="s">
        <v>19</v>
      </c>
      <c r="D48">
        <v>364.59325899999999</v>
      </c>
      <c r="E48">
        <v>10.556683</v>
      </c>
      <c r="F48">
        <v>10.02929</v>
      </c>
      <c r="G48">
        <v>1.2030000000000001E-3</v>
      </c>
      <c r="H48">
        <v>1.196E-3</v>
      </c>
      <c r="L48">
        <v>184.27084350000001</v>
      </c>
      <c r="M48">
        <v>805.75120260000006</v>
      </c>
    </row>
    <row r="49" spans="2:13" x14ac:dyDescent="0.2">
      <c r="C49" t="s">
        <v>20</v>
      </c>
      <c r="D49">
        <v>74.940920000000006</v>
      </c>
      <c r="E49">
        <v>0.59294999999999998</v>
      </c>
      <c r="F49">
        <v>0.56976700000000002</v>
      </c>
      <c r="G49">
        <v>1.0139999999999999E-3</v>
      </c>
      <c r="H49">
        <v>1.0139999999999999E-3</v>
      </c>
      <c r="L49">
        <v>82.550782499999997</v>
      </c>
      <c r="M49">
        <v>222.92766180000001</v>
      </c>
    </row>
    <row r="50" spans="2:13" x14ac:dyDescent="0.2">
      <c r="C50" t="s">
        <v>21</v>
      </c>
      <c r="D50">
        <v>78.711647999999997</v>
      </c>
      <c r="E50">
        <v>0.80444199999999999</v>
      </c>
      <c r="F50">
        <v>0.78631399999999996</v>
      </c>
      <c r="G50">
        <v>8.4699999999999999E-4</v>
      </c>
      <c r="H50">
        <v>8.4699999999999999E-4</v>
      </c>
      <c r="L50">
        <v>69.785088000000002</v>
      </c>
      <c r="M50">
        <v>224.01135360000001</v>
      </c>
    </row>
    <row r="51" spans="2:13" x14ac:dyDescent="0.2">
      <c r="C51" t="s">
        <v>22</v>
      </c>
      <c r="D51">
        <v>41.327621999999998</v>
      </c>
      <c r="E51">
        <v>0.57220000000000004</v>
      </c>
      <c r="F51">
        <v>0.56356399999999995</v>
      </c>
      <c r="G51">
        <v>6.6399999999999999E-4</v>
      </c>
      <c r="H51">
        <v>6.6399999999999999E-4</v>
      </c>
      <c r="L51">
        <v>22.663679999999999</v>
      </c>
      <c r="M51">
        <v>53.157888</v>
      </c>
    </row>
    <row r="52" spans="2:13" x14ac:dyDescent="0.2">
      <c r="C52" t="s">
        <v>23</v>
      </c>
      <c r="D52">
        <v>13.89475</v>
      </c>
      <c r="E52">
        <v>0.31226100000000001</v>
      </c>
      <c r="F52">
        <v>0.308056</v>
      </c>
      <c r="G52">
        <v>2.3499999999999999E-4</v>
      </c>
      <c r="H52">
        <v>2.3499999999999999E-4</v>
      </c>
      <c r="L52">
        <v>17.424384</v>
      </c>
      <c r="M52">
        <v>31.9647726</v>
      </c>
    </row>
    <row r="54" spans="2:13" x14ac:dyDescent="0.2">
      <c r="B54" t="s">
        <v>30</v>
      </c>
      <c r="C54" t="s">
        <v>27</v>
      </c>
      <c r="D54" t="s">
        <v>26</v>
      </c>
      <c r="E54" t="s">
        <v>24</v>
      </c>
      <c r="F54" t="s">
        <v>25</v>
      </c>
      <c r="G54">
        <v>32</v>
      </c>
      <c r="H54">
        <v>64</v>
      </c>
      <c r="L54" t="s">
        <v>33</v>
      </c>
      <c r="M54" t="s">
        <v>34</v>
      </c>
    </row>
    <row r="55" spans="2:13" x14ac:dyDescent="0.2">
      <c r="C55" t="s">
        <v>0</v>
      </c>
      <c r="D55">
        <v>2845.5295769999998</v>
      </c>
      <c r="E55">
        <v>24.691625999999999</v>
      </c>
      <c r="F55">
        <v>11.304307</v>
      </c>
      <c r="G55">
        <v>8.6499999999999997E-3</v>
      </c>
      <c r="H55">
        <v>3.6600000000000001E-3</v>
      </c>
    </row>
    <row r="56" spans="2:13" x14ac:dyDescent="0.2">
      <c r="C56" t="s">
        <v>1</v>
      </c>
      <c r="D56">
        <v>6056.1897769999996</v>
      </c>
      <c r="E56">
        <v>40.845354999999998</v>
      </c>
      <c r="F56">
        <v>28.040596000000001</v>
      </c>
      <c r="G56">
        <v>1.7543E-2</v>
      </c>
      <c r="H56">
        <v>1.3348E-2</v>
      </c>
    </row>
    <row r="57" spans="2:13" x14ac:dyDescent="0.2">
      <c r="C57" t="s">
        <v>2</v>
      </c>
      <c r="D57">
        <v>276.46692400000001</v>
      </c>
      <c r="E57">
        <v>3.3310550000000001</v>
      </c>
      <c r="F57">
        <v>3.4496340000000001</v>
      </c>
      <c r="G57">
        <v>1.379E-3</v>
      </c>
      <c r="H57">
        <v>7.76E-4</v>
      </c>
    </row>
    <row r="58" spans="2:13" x14ac:dyDescent="0.2">
      <c r="C58" t="s">
        <v>3</v>
      </c>
      <c r="D58">
        <v>682.02321800000004</v>
      </c>
      <c r="E58">
        <v>3.0859529999999999</v>
      </c>
      <c r="F58">
        <v>2.5827290000000001</v>
      </c>
      <c r="G58">
        <v>1.1450999999999999E-2</v>
      </c>
      <c r="H58">
        <v>1.1450999999999999E-2</v>
      </c>
    </row>
    <row r="59" spans="2:13" x14ac:dyDescent="0.2">
      <c r="C59" t="s">
        <v>4</v>
      </c>
      <c r="D59">
        <v>141.419104</v>
      </c>
      <c r="E59">
        <v>7.0276699999999996</v>
      </c>
      <c r="F59">
        <v>5.0404330000000002</v>
      </c>
      <c r="G59">
        <v>5.8E-4</v>
      </c>
      <c r="H59">
        <v>3.9599999999999998E-4</v>
      </c>
    </row>
    <row r="60" spans="2:13" x14ac:dyDescent="0.2">
      <c r="C60" t="s">
        <v>5</v>
      </c>
      <c r="D60">
        <v>216.19861599999999</v>
      </c>
      <c r="E60">
        <v>2.859381</v>
      </c>
      <c r="F60">
        <v>6.8382560000000003</v>
      </c>
      <c r="G60">
        <v>7.4799999999999997E-4</v>
      </c>
      <c r="H60">
        <v>5.04E-4</v>
      </c>
    </row>
    <row r="61" spans="2:13" x14ac:dyDescent="0.2">
      <c r="C61" t="s">
        <v>6</v>
      </c>
      <c r="D61">
        <v>36.215429</v>
      </c>
      <c r="E61">
        <v>0.926813</v>
      </c>
      <c r="F61">
        <v>0.96726599999999996</v>
      </c>
      <c r="G61">
        <v>2.3900000000000001E-4</v>
      </c>
      <c r="H61">
        <v>2.3499999999999999E-4</v>
      </c>
    </row>
    <row r="62" spans="2:13" x14ac:dyDescent="0.2">
      <c r="C62" t="s">
        <v>7</v>
      </c>
      <c r="D62">
        <v>84.233711999999997</v>
      </c>
      <c r="E62">
        <v>8.7784230000000001</v>
      </c>
      <c r="F62">
        <v>4.6108120000000001</v>
      </c>
      <c r="G62">
        <v>8.5000000000000006E-5</v>
      </c>
      <c r="H62">
        <v>8.5000000000000006E-5</v>
      </c>
    </row>
    <row r="63" spans="2:13" x14ac:dyDescent="0.2">
      <c r="C63" t="s">
        <v>8</v>
      </c>
      <c r="D63">
        <v>45380.057333999997</v>
      </c>
      <c r="E63">
        <v>16.097277999999999</v>
      </c>
      <c r="F63">
        <v>4.4232040000000001</v>
      </c>
      <c r="G63">
        <v>1.8593999999999999E-2</v>
      </c>
      <c r="H63">
        <v>1.2319E-2</v>
      </c>
    </row>
    <row r="64" spans="2:13" x14ac:dyDescent="0.2">
      <c r="C64" t="s">
        <v>9</v>
      </c>
      <c r="D64">
        <v>130.48828900000001</v>
      </c>
      <c r="E64">
        <v>0.90729099999999996</v>
      </c>
      <c r="F64">
        <v>0.85550899999999996</v>
      </c>
      <c r="G64">
        <v>8.6200000000000003E-4</v>
      </c>
      <c r="H64">
        <v>4.9600000000000002E-4</v>
      </c>
    </row>
    <row r="65" spans="3:8" x14ac:dyDescent="0.2">
      <c r="C65" t="s">
        <v>10</v>
      </c>
      <c r="D65">
        <v>4964.574149</v>
      </c>
      <c r="E65">
        <v>3.2619189999999998</v>
      </c>
      <c r="F65">
        <v>2.8875000000000002</v>
      </c>
      <c r="G65">
        <v>1.1568999999999999E-2</v>
      </c>
      <c r="H65">
        <v>1.1487000000000001E-2</v>
      </c>
    </row>
    <row r="66" spans="3:8" x14ac:dyDescent="0.2">
      <c r="C66" t="s">
        <v>11</v>
      </c>
      <c r="D66">
        <v>2710.8449190000001</v>
      </c>
      <c r="E66">
        <v>3.7663319999999998</v>
      </c>
      <c r="F66">
        <v>3.0656669999999999</v>
      </c>
      <c r="G66">
        <v>1.1471E-2</v>
      </c>
      <c r="H66">
        <v>1.1454000000000001E-2</v>
      </c>
    </row>
    <row r="67" spans="3:8" x14ac:dyDescent="0.2">
      <c r="C67" t="s">
        <v>12</v>
      </c>
      <c r="D67">
        <v>8305.0711919999994</v>
      </c>
      <c r="E67">
        <v>6.9174790000000002</v>
      </c>
      <c r="F67">
        <v>4.8637240000000004</v>
      </c>
      <c r="G67">
        <v>2.4380000000000001E-3</v>
      </c>
      <c r="H67">
        <v>1.039E-3</v>
      </c>
    </row>
    <row r="68" spans="3:8" x14ac:dyDescent="0.2">
      <c r="C68" t="s">
        <v>13</v>
      </c>
      <c r="D68">
        <v>163.19931700000001</v>
      </c>
      <c r="E68">
        <v>0.95213099999999995</v>
      </c>
      <c r="F68">
        <v>0.93954599999999999</v>
      </c>
      <c r="G68">
        <v>3.6299999999999999E-4</v>
      </c>
      <c r="H68">
        <v>3.6000000000000002E-4</v>
      </c>
    </row>
    <row r="69" spans="3:8" x14ac:dyDescent="0.2">
      <c r="C69" t="s">
        <v>14</v>
      </c>
      <c r="D69">
        <v>43.455863000000001</v>
      </c>
      <c r="E69">
        <v>0.70541799999999999</v>
      </c>
      <c r="F69">
        <v>0.68531699999999995</v>
      </c>
      <c r="G69">
        <v>2.34E-4</v>
      </c>
      <c r="H69">
        <v>2.34E-4</v>
      </c>
    </row>
    <row r="70" spans="3:8" x14ac:dyDescent="0.2">
      <c r="C70" t="s">
        <v>15</v>
      </c>
      <c r="D70">
        <v>13.463156</v>
      </c>
      <c r="E70">
        <v>0.34538999999999997</v>
      </c>
      <c r="F70">
        <v>0.32523299999999999</v>
      </c>
      <c r="G70">
        <v>8.5000000000000006E-5</v>
      </c>
      <c r="H70">
        <v>8.5000000000000006E-5</v>
      </c>
    </row>
    <row r="71" spans="3:8" x14ac:dyDescent="0.2">
      <c r="C71" t="s">
        <v>16</v>
      </c>
      <c r="D71">
        <v>231.39628999999999</v>
      </c>
      <c r="E71">
        <v>5.746823</v>
      </c>
      <c r="F71">
        <v>7.3614300000000004</v>
      </c>
      <c r="G71">
        <v>3.0299999999999999E-4</v>
      </c>
      <c r="H71">
        <v>2.9999999999999997E-4</v>
      </c>
    </row>
    <row r="72" spans="3:8" x14ac:dyDescent="0.2">
      <c r="C72" t="s">
        <v>17</v>
      </c>
      <c r="D72">
        <v>701.64600299999995</v>
      </c>
      <c r="E72">
        <v>6.7509110000000003</v>
      </c>
      <c r="F72">
        <v>10.675399000000001</v>
      </c>
      <c r="G72">
        <v>5.5099999999999995E-4</v>
      </c>
      <c r="H72">
        <v>4.6099999999999998E-4</v>
      </c>
    </row>
    <row r="73" spans="3:8" x14ac:dyDescent="0.2">
      <c r="C73" t="s">
        <v>18</v>
      </c>
      <c r="D73">
        <v>701.69680900000003</v>
      </c>
      <c r="E73">
        <v>2.4531070000000001</v>
      </c>
      <c r="F73">
        <v>2.3473120000000001</v>
      </c>
      <c r="G73">
        <v>8.4400000000000002E-4</v>
      </c>
      <c r="H73">
        <v>4.95E-4</v>
      </c>
    </row>
    <row r="74" spans="3:8" x14ac:dyDescent="0.2">
      <c r="C74" t="s">
        <v>19</v>
      </c>
      <c r="D74">
        <v>416.18028399999997</v>
      </c>
      <c r="E74">
        <v>3.2260360000000001</v>
      </c>
      <c r="F74">
        <v>2.4640040000000001</v>
      </c>
      <c r="G74">
        <v>4.2400000000000001E-4</v>
      </c>
      <c r="H74">
        <v>4.2099999999999999E-4</v>
      </c>
    </row>
    <row r="75" spans="3:8" x14ac:dyDescent="0.2">
      <c r="C75" t="s">
        <v>20</v>
      </c>
      <c r="D75">
        <v>248.18782100000001</v>
      </c>
      <c r="E75">
        <v>5.1691120000000002</v>
      </c>
      <c r="F75">
        <v>5.0449039999999998</v>
      </c>
      <c r="G75">
        <v>3.6000000000000002E-4</v>
      </c>
      <c r="H75">
        <v>3.6000000000000002E-4</v>
      </c>
    </row>
    <row r="76" spans="3:8" x14ac:dyDescent="0.2">
      <c r="C76" t="s">
        <v>21</v>
      </c>
      <c r="D76">
        <v>151.21741700000001</v>
      </c>
      <c r="E76">
        <v>0.95817699999999995</v>
      </c>
      <c r="F76">
        <v>0.95914900000000003</v>
      </c>
      <c r="G76">
        <v>2.9999999999999997E-4</v>
      </c>
      <c r="H76">
        <v>2.9999999999999997E-4</v>
      </c>
    </row>
    <row r="77" spans="3:8" x14ac:dyDescent="0.2">
      <c r="C77" t="s">
        <v>22</v>
      </c>
      <c r="D77">
        <v>203.352239</v>
      </c>
      <c r="E77">
        <v>6.2721629999999999</v>
      </c>
      <c r="F77">
        <v>5.0052459999999996</v>
      </c>
      <c r="G77">
        <v>2.34E-4</v>
      </c>
      <c r="H77">
        <v>2.34E-4</v>
      </c>
    </row>
    <row r="78" spans="3:8" x14ac:dyDescent="0.2">
      <c r="C78" t="s">
        <v>23</v>
      </c>
      <c r="D78">
        <v>49.377882999999997</v>
      </c>
      <c r="E78">
        <v>0.33272600000000002</v>
      </c>
      <c r="F78">
        <v>0.335146</v>
      </c>
      <c r="G78">
        <v>8.5000000000000006E-5</v>
      </c>
      <c r="H78">
        <v>8.5000000000000006E-5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7CE6-93DE-C746-BCF5-BC861A4334E3}">
  <dimension ref="B2:M78"/>
  <sheetViews>
    <sheetView workbookViewId="0">
      <selection activeCell="M3" sqref="M3:M15"/>
    </sheetView>
  </sheetViews>
  <sheetFormatPr baseColWidth="10" defaultRowHeight="16" x14ac:dyDescent="0.2"/>
  <cols>
    <col min="4" max="4" width="13.6640625" customWidth="1"/>
    <col min="5" max="5" width="18.6640625" customWidth="1"/>
    <col min="9" max="9" width="24" customWidth="1"/>
    <col min="10" max="10" width="23.1640625" customWidth="1"/>
    <col min="11" max="11" width="17.6640625" customWidth="1"/>
    <col min="12" max="12" width="22.83203125" customWidth="1"/>
    <col min="13" max="13" width="23.6640625" customWidth="1"/>
    <col min="14" max="14" width="18.1640625" customWidth="1"/>
  </cols>
  <sheetData>
    <row r="2" spans="2:13" x14ac:dyDescent="0.2">
      <c r="B2" t="s">
        <v>28</v>
      </c>
      <c r="C2" t="s">
        <v>27</v>
      </c>
      <c r="D2" t="s">
        <v>26</v>
      </c>
      <c r="E2" t="s">
        <v>24</v>
      </c>
      <c r="F2" t="s">
        <v>25</v>
      </c>
      <c r="G2">
        <v>32</v>
      </c>
      <c r="H2">
        <v>64</v>
      </c>
      <c r="I2" t="s">
        <v>33</v>
      </c>
      <c r="J2" t="s">
        <v>31</v>
      </c>
      <c r="K2" t="s">
        <v>32</v>
      </c>
      <c r="L2" t="s">
        <v>36</v>
      </c>
    </row>
    <row r="3" spans="2:13" x14ac:dyDescent="0.2">
      <c r="C3" t="s">
        <v>0</v>
      </c>
      <c r="D3">
        <v>6949.8679940000002</v>
      </c>
      <c r="E3">
        <v>29.428681999999998</v>
      </c>
      <c r="F3">
        <v>17.291360000000001</v>
      </c>
      <c r="G3">
        <v>4.9150000000000001E-3</v>
      </c>
      <c r="H3">
        <v>2.3869999999999998E-3</v>
      </c>
      <c r="I3">
        <v>570.69772349999994</v>
      </c>
      <c r="J3">
        <v>1976.3582526</v>
      </c>
      <c r="L3">
        <v>1227.1396184999999</v>
      </c>
      <c r="M3">
        <f>J3/L3</f>
        <v>1.6105406612295765</v>
      </c>
    </row>
    <row r="4" spans="2:13" x14ac:dyDescent="0.2">
      <c r="C4" t="s">
        <v>1</v>
      </c>
      <c r="D4">
        <v>10238.866458</v>
      </c>
      <c r="E4">
        <v>57.723632000000002</v>
      </c>
      <c r="F4">
        <v>52.181519999999999</v>
      </c>
      <c r="G4">
        <v>2.2568000000000001E-2</v>
      </c>
      <c r="H4">
        <v>1.8796E-2</v>
      </c>
      <c r="I4">
        <v>3572.7652590000002</v>
      </c>
      <c r="J4">
        <v>8650.8667962</v>
      </c>
      <c r="L4">
        <v>3052.787292</v>
      </c>
      <c r="M4">
        <f t="shared" ref="M4:M15" si="0">J4/L4</f>
        <v>2.8337600915956642</v>
      </c>
    </row>
    <row r="5" spans="2:13" x14ac:dyDescent="0.2">
      <c r="C5" t="s">
        <v>2</v>
      </c>
      <c r="D5">
        <v>999.482529</v>
      </c>
      <c r="E5">
        <v>4.3114249999999998</v>
      </c>
      <c r="F5">
        <v>4.602176</v>
      </c>
      <c r="G5">
        <v>6.7100000000000005E-4</v>
      </c>
      <c r="H5">
        <v>4.2400000000000001E-4</v>
      </c>
      <c r="I5">
        <v>80.434176000000008</v>
      </c>
      <c r="J5">
        <v>111.86933759999999</v>
      </c>
      <c r="L5">
        <v>74.009038500000003</v>
      </c>
      <c r="M5">
        <f t="shared" si="0"/>
        <v>1.5115631802188592</v>
      </c>
    </row>
    <row r="6" spans="2:13" x14ac:dyDescent="0.2">
      <c r="C6" t="s">
        <v>3</v>
      </c>
      <c r="D6">
        <v>1288.4947850000001</v>
      </c>
      <c r="E6">
        <v>4.7621669999999998</v>
      </c>
      <c r="F6">
        <v>3.5153919999999999</v>
      </c>
      <c r="G6">
        <v>1.6594000000000001E-2</v>
      </c>
      <c r="H6">
        <v>1.6594000000000001E-2</v>
      </c>
      <c r="I6">
        <v>266.4099885</v>
      </c>
      <c r="J6">
        <v>349.75807740000005</v>
      </c>
      <c r="L6">
        <v>217.4807055</v>
      </c>
      <c r="M6">
        <f t="shared" si="0"/>
        <v>1.6082257807463294</v>
      </c>
    </row>
    <row r="7" spans="2:13" x14ac:dyDescent="0.2">
      <c r="C7" t="s">
        <v>4</v>
      </c>
      <c r="D7">
        <v>174.75491299999999</v>
      </c>
      <c r="E7">
        <v>2.2403740000000001</v>
      </c>
      <c r="F7">
        <v>1.6237029999999999</v>
      </c>
      <c r="G7">
        <v>3.3E-4</v>
      </c>
      <c r="H7">
        <v>2.5999999999999998E-4</v>
      </c>
      <c r="I7">
        <v>133.18655849999999</v>
      </c>
      <c r="J7">
        <v>246.08194019999999</v>
      </c>
      <c r="L7">
        <v>163.03732650000001</v>
      </c>
      <c r="M7">
        <f t="shared" si="0"/>
        <v>1.5093595159020226</v>
      </c>
    </row>
    <row r="8" spans="2:13" x14ac:dyDescent="0.2">
      <c r="C8" t="s">
        <v>5</v>
      </c>
      <c r="D8">
        <v>275.23572100000001</v>
      </c>
      <c r="E8">
        <v>10.198743</v>
      </c>
      <c r="F8">
        <v>10.070264</v>
      </c>
      <c r="G8">
        <v>3.9399999999999998E-4</v>
      </c>
      <c r="H8">
        <v>3.0499999999999999E-4</v>
      </c>
      <c r="I8">
        <v>79.884286500000002</v>
      </c>
      <c r="J8">
        <v>154.01778660000002</v>
      </c>
      <c r="L8">
        <v>88.024846499999995</v>
      </c>
      <c r="M8">
        <f t="shared" si="0"/>
        <v>1.7497080963384586</v>
      </c>
    </row>
    <row r="9" spans="2:13" x14ac:dyDescent="0.2">
      <c r="C9" t="s">
        <v>6</v>
      </c>
      <c r="D9">
        <v>35.185350999999997</v>
      </c>
      <c r="E9">
        <v>1.341863</v>
      </c>
      <c r="F9">
        <v>1.409405</v>
      </c>
      <c r="G9">
        <v>1.7699999999999999E-4</v>
      </c>
      <c r="H9">
        <v>1.75E-4</v>
      </c>
      <c r="I9">
        <v>31.045632000000001</v>
      </c>
      <c r="J9">
        <v>37.9934802</v>
      </c>
      <c r="L9">
        <v>30.704641499999997</v>
      </c>
      <c r="M9">
        <f t="shared" si="0"/>
        <v>1.2373855659575117</v>
      </c>
    </row>
    <row r="10" spans="2:13" x14ac:dyDescent="0.2">
      <c r="C10" t="s">
        <v>7</v>
      </c>
      <c r="D10">
        <v>16.922913000000001</v>
      </c>
      <c r="E10">
        <v>0.84196499999999996</v>
      </c>
      <c r="F10">
        <v>0.84337700000000004</v>
      </c>
      <c r="G10">
        <v>6.2000000000000003E-5</v>
      </c>
      <c r="H10">
        <v>6.2000000000000003E-5</v>
      </c>
      <c r="I10">
        <v>30.9166095</v>
      </c>
      <c r="J10">
        <v>40.926124800000004</v>
      </c>
      <c r="L10">
        <v>31.3497585</v>
      </c>
      <c r="M10">
        <f t="shared" si="0"/>
        <v>1.30546858279626</v>
      </c>
    </row>
    <row r="11" spans="2:13" x14ac:dyDescent="0.2">
      <c r="C11" t="s">
        <v>8</v>
      </c>
      <c r="D11">
        <v>104885.04289700001</v>
      </c>
      <c r="E11">
        <v>40.359701999999999</v>
      </c>
      <c r="F11">
        <v>9.1511890000000005</v>
      </c>
      <c r="G11">
        <v>2.3768999999999998E-2</v>
      </c>
      <c r="H11">
        <v>1.7528999999999999E-2</v>
      </c>
      <c r="I11">
        <v>51264.691406999991</v>
      </c>
      <c r="J11">
        <v>62996.688280800001</v>
      </c>
      <c r="L11">
        <v>50781.65625</v>
      </c>
      <c r="M11">
        <f t="shared" si="0"/>
        <v>1.2405402448999485</v>
      </c>
    </row>
    <row r="12" spans="2:13" x14ac:dyDescent="0.2">
      <c r="C12" t="s">
        <v>9</v>
      </c>
      <c r="D12">
        <v>1932.9252260000001</v>
      </c>
      <c r="E12">
        <v>5.0228729999999997</v>
      </c>
      <c r="F12">
        <v>2.59571</v>
      </c>
      <c r="G12">
        <v>4.6000000000000001E-4</v>
      </c>
      <c r="H12">
        <v>3.0600000000000001E-4</v>
      </c>
      <c r="I12">
        <v>410.60966550000001</v>
      </c>
      <c r="J12">
        <v>480.31578360000003</v>
      </c>
      <c r="L12">
        <v>409.38853499999993</v>
      </c>
      <c r="M12">
        <f t="shared" si="0"/>
        <v>1.1732516730103351</v>
      </c>
    </row>
    <row r="13" spans="2:13" x14ac:dyDescent="0.2">
      <c r="C13" t="s">
        <v>10</v>
      </c>
      <c r="D13">
        <v>14909.420324999999</v>
      </c>
      <c r="E13">
        <v>5.722823</v>
      </c>
      <c r="F13">
        <v>4.1102800000000004</v>
      </c>
      <c r="G13">
        <v>1.6639999999999999E-2</v>
      </c>
      <c r="H13">
        <v>1.661E-2</v>
      </c>
      <c r="I13">
        <v>869.22857700000009</v>
      </c>
      <c r="J13">
        <v>911.37947400000007</v>
      </c>
      <c r="L13">
        <v>735.09580949999997</v>
      </c>
      <c r="M13">
        <f t="shared" si="0"/>
        <v>1.2398104603805391</v>
      </c>
    </row>
    <row r="14" spans="2:13" x14ac:dyDescent="0.2">
      <c r="C14" t="s">
        <v>11</v>
      </c>
      <c r="D14">
        <v>13938.61987</v>
      </c>
      <c r="E14">
        <v>7.8389629999999997</v>
      </c>
      <c r="F14">
        <v>5.504696</v>
      </c>
      <c r="G14">
        <v>1.6618999999999998E-2</v>
      </c>
      <c r="H14">
        <v>1.6598999999999999E-2</v>
      </c>
      <c r="I14">
        <v>24577.564453499996</v>
      </c>
      <c r="J14">
        <v>36086.115234600002</v>
      </c>
      <c r="L14">
        <v>24690.814453499996</v>
      </c>
      <c r="M14">
        <f t="shared" si="0"/>
        <v>1.4615198418246056</v>
      </c>
    </row>
    <row r="15" spans="2:13" x14ac:dyDescent="0.2">
      <c r="C15" t="s">
        <v>12</v>
      </c>
      <c r="D15">
        <v>106969.74902</v>
      </c>
      <c r="E15">
        <v>31.656043</v>
      </c>
      <c r="F15">
        <v>16.845613</v>
      </c>
      <c r="G15">
        <v>1.3420000000000001E-3</v>
      </c>
      <c r="H15">
        <v>5.4299999999999997E-4</v>
      </c>
      <c r="I15">
        <v>3099.6049800000001</v>
      </c>
      <c r="J15">
        <v>3116.3759028000004</v>
      </c>
      <c r="L15">
        <v>2730.7479855000001</v>
      </c>
      <c r="M15">
        <f t="shared" si="0"/>
        <v>1.1412169557013851</v>
      </c>
    </row>
    <row r="16" spans="2:13" x14ac:dyDescent="0.2">
      <c r="C16" t="s">
        <v>13</v>
      </c>
      <c r="D16">
        <v>939.31718999999998</v>
      </c>
      <c r="E16">
        <v>1.6732149999999999</v>
      </c>
      <c r="F16">
        <v>1.6286149999999999</v>
      </c>
      <c r="G16">
        <v>2.5599999999999999E-4</v>
      </c>
      <c r="H16">
        <v>2.4899999999999998E-4</v>
      </c>
      <c r="I16">
        <v>547.35974099999999</v>
      </c>
      <c r="J16">
        <v>939.6357048000001</v>
      </c>
    </row>
    <row r="17" spans="2:12" x14ac:dyDescent="0.2">
      <c r="C17" t="s">
        <v>14</v>
      </c>
      <c r="D17">
        <v>206.545714</v>
      </c>
      <c r="E17">
        <v>2.9077660000000001</v>
      </c>
      <c r="F17">
        <v>1.136369</v>
      </c>
      <c r="G17">
        <v>1.73E-4</v>
      </c>
      <c r="H17">
        <v>1.73E-4</v>
      </c>
      <c r="I17">
        <v>49.881596999999999</v>
      </c>
      <c r="J17">
        <v>66.187470599999997</v>
      </c>
    </row>
    <row r="18" spans="2:12" x14ac:dyDescent="0.2">
      <c r="C18" t="s">
        <v>15</v>
      </c>
      <c r="D18">
        <v>44.044846999999997</v>
      </c>
      <c r="E18">
        <v>0.87631300000000001</v>
      </c>
      <c r="F18">
        <v>0.84743199999999996</v>
      </c>
      <c r="G18">
        <v>6.2000000000000003E-5</v>
      </c>
      <c r="H18">
        <v>6.2000000000000003E-5</v>
      </c>
      <c r="I18">
        <v>44.865022500000002</v>
      </c>
      <c r="J18">
        <v>63.116695799999995</v>
      </c>
    </row>
    <row r="19" spans="2:12" x14ac:dyDescent="0.2">
      <c r="C19" t="s">
        <v>16</v>
      </c>
      <c r="D19">
        <v>7099.549634</v>
      </c>
      <c r="E19">
        <v>2.1161759999999998</v>
      </c>
      <c r="F19">
        <v>1.5403629999999999</v>
      </c>
      <c r="G19">
        <v>2.24E-4</v>
      </c>
      <c r="H19">
        <v>2.13E-4</v>
      </c>
      <c r="I19">
        <v>18796.73877</v>
      </c>
      <c r="J19">
        <v>29821.830469199998</v>
      </c>
    </row>
    <row r="20" spans="2:12" x14ac:dyDescent="0.2">
      <c r="C20" t="s">
        <v>17</v>
      </c>
      <c r="D20">
        <v>262779.63892300002</v>
      </c>
      <c r="E20">
        <v>5.4805279999999996</v>
      </c>
      <c r="F20">
        <v>7.3560359999999996</v>
      </c>
      <c r="G20">
        <v>3.7300000000000001E-4</v>
      </c>
      <c r="H20">
        <v>3.0400000000000002E-4</v>
      </c>
      <c r="I20">
        <v>26320.040038500003</v>
      </c>
      <c r="J20">
        <v>56455.214061600003</v>
      </c>
    </row>
    <row r="21" spans="2:12" x14ac:dyDescent="0.2">
      <c r="C21" t="s">
        <v>18</v>
      </c>
      <c r="D21">
        <v>129801.977235</v>
      </c>
      <c r="E21">
        <v>5.9969390000000002</v>
      </c>
      <c r="F21">
        <v>3.9901939999999998</v>
      </c>
      <c r="G21">
        <v>4.4799999999999999E-4</v>
      </c>
      <c r="H21">
        <v>3.0400000000000002E-4</v>
      </c>
      <c r="I21">
        <v>22690.608398999997</v>
      </c>
      <c r="J21">
        <v>44642.629688400004</v>
      </c>
    </row>
    <row r="22" spans="2:12" x14ac:dyDescent="0.2">
      <c r="C22" t="s">
        <v>19</v>
      </c>
      <c r="D22">
        <v>146443.89772000001</v>
      </c>
      <c r="E22">
        <v>8.2189340000000009</v>
      </c>
      <c r="F22">
        <v>3.9431929999999999</v>
      </c>
      <c r="G22">
        <v>2.9500000000000001E-4</v>
      </c>
      <c r="H22">
        <v>2.8200000000000002E-4</v>
      </c>
      <c r="I22">
        <v>3366.3098144999994</v>
      </c>
      <c r="J22">
        <v>4154.1231438000004</v>
      </c>
    </row>
    <row r="23" spans="2:12" x14ac:dyDescent="0.2">
      <c r="C23" t="s">
        <v>20</v>
      </c>
      <c r="D23">
        <v>6828.6156369999999</v>
      </c>
      <c r="E23">
        <v>8.1876160000000002</v>
      </c>
      <c r="F23">
        <v>9.0226760000000006</v>
      </c>
      <c r="G23">
        <v>2.4800000000000001E-4</v>
      </c>
      <c r="H23">
        <v>2.4800000000000001E-4</v>
      </c>
      <c r="I23">
        <v>4381.4505614999998</v>
      </c>
      <c r="J23">
        <v>8328.3442379999997</v>
      </c>
    </row>
    <row r="24" spans="2:12" x14ac:dyDescent="0.2">
      <c r="C24" t="s">
        <v>21</v>
      </c>
      <c r="D24">
        <v>22697.389671000001</v>
      </c>
      <c r="E24">
        <v>2.009735</v>
      </c>
      <c r="F24">
        <v>1.642895</v>
      </c>
      <c r="G24">
        <v>2.1699999999999999E-4</v>
      </c>
      <c r="H24">
        <v>2.12E-4</v>
      </c>
      <c r="I24">
        <v>2352.6450809999997</v>
      </c>
      <c r="J24">
        <v>3386.6920890000001</v>
      </c>
    </row>
    <row r="25" spans="2:12" x14ac:dyDescent="0.2">
      <c r="C25" t="s">
        <v>22</v>
      </c>
      <c r="D25">
        <v>621.99918400000001</v>
      </c>
      <c r="E25">
        <v>9.0393840000000001</v>
      </c>
      <c r="F25">
        <v>5.8796210000000002</v>
      </c>
      <c r="G25">
        <v>1.73E-4</v>
      </c>
      <c r="H25">
        <v>1.73E-4</v>
      </c>
      <c r="I25">
        <v>144.3502125</v>
      </c>
      <c r="J25">
        <v>203.83949519999999</v>
      </c>
    </row>
    <row r="26" spans="2:12" x14ac:dyDescent="0.2">
      <c r="C26" t="s">
        <v>23</v>
      </c>
      <c r="D26">
        <v>90.743069000000006</v>
      </c>
      <c r="E26">
        <v>0.86149900000000001</v>
      </c>
      <c r="F26">
        <v>0.83549099999999998</v>
      </c>
      <c r="G26">
        <v>6.2000000000000003E-5</v>
      </c>
      <c r="H26">
        <v>6.2000000000000003E-5</v>
      </c>
      <c r="I26">
        <v>112.63339199999999</v>
      </c>
      <c r="J26">
        <v>174.6266148</v>
      </c>
    </row>
    <row r="28" spans="2:12" x14ac:dyDescent="0.2">
      <c r="B28" t="s">
        <v>29</v>
      </c>
      <c r="C28" t="s">
        <v>27</v>
      </c>
      <c r="D28" t="s">
        <v>26</v>
      </c>
      <c r="E28" t="s">
        <v>24</v>
      </c>
      <c r="F28" t="s">
        <v>25</v>
      </c>
      <c r="G28">
        <v>32</v>
      </c>
      <c r="H28">
        <v>64</v>
      </c>
      <c r="I28" t="s">
        <v>33</v>
      </c>
      <c r="J28" t="s">
        <v>34</v>
      </c>
      <c r="K28" t="s">
        <v>35</v>
      </c>
      <c r="L28" t="s">
        <v>36</v>
      </c>
    </row>
    <row r="29" spans="2:12" x14ac:dyDescent="0.2">
      <c r="C29" t="s">
        <v>0</v>
      </c>
      <c r="D29">
        <v>4453.7753190000003</v>
      </c>
      <c r="E29">
        <v>30.860870999999999</v>
      </c>
      <c r="F29">
        <v>17.746586000000001</v>
      </c>
      <c r="G29">
        <v>4.4790999999999997E-2</v>
      </c>
      <c r="H29">
        <v>1.9448E-2</v>
      </c>
    </row>
    <row r="30" spans="2:12" x14ac:dyDescent="0.2">
      <c r="C30" t="s">
        <v>1</v>
      </c>
      <c r="D30">
        <v>8506.2164510000002</v>
      </c>
      <c r="E30">
        <v>62.872135</v>
      </c>
      <c r="F30">
        <v>45.919908</v>
      </c>
      <c r="G30">
        <v>9.1980000000000006E-2</v>
      </c>
      <c r="H30">
        <v>7.2452000000000003E-2</v>
      </c>
    </row>
    <row r="31" spans="2:12" x14ac:dyDescent="0.2">
      <c r="C31" t="s">
        <v>2</v>
      </c>
      <c r="D31">
        <v>437.59895299999999</v>
      </c>
      <c r="E31">
        <v>7.3605400000000003</v>
      </c>
      <c r="F31">
        <v>5.6574</v>
      </c>
      <c r="G31">
        <v>7.26E-3</v>
      </c>
      <c r="H31">
        <v>4.1469999999999996E-3</v>
      </c>
    </row>
    <row r="32" spans="2:12" x14ac:dyDescent="0.2">
      <c r="C32" t="s">
        <v>3</v>
      </c>
      <c r="D32">
        <v>1163.8617360000001</v>
      </c>
      <c r="E32">
        <v>4.7952029999999999</v>
      </c>
      <c r="F32">
        <v>3.9124050000000001</v>
      </c>
      <c r="G32">
        <v>6.2980999999999995E-2</v>
      </c>
      <c r="H32">
        <v>6.2980999999999995E-2</v>
      </c>
    </row>
    <row r="33" spans="3:8" x14ac:dyDescent="0.2">
      <c r="C33" t="s">
        <v>4</v>
      </c>
      <c r="D33">
        <v>79.482265999999996</v>
      </c>
      <c r="E33">
        <v>1.4769099999999999</v>
      </c>
      <c r="F33">
        <v>2.3812359999999999</v>
      </c>
      <c r="G33">
        <v>3.0230000000000001E-3</v>
      </c>
      <c r="H33">
        <v>2.1120000000000002E-3</v>
      </c>
    </row>
    <row r="34" spans="3:8" x14ac:dyDescent="0.2">
      <c r="C34" t="s">
        <v>5</v>
      </c>
      <c r="D34">
        <v>152.86632399999999</v>
      </c>
      <c r="E34">
        <v>3.8010269999999999</v>
      </c>
      <c r="F34">
        <v>3.5248339999999998</v>
      </c>
      <c r="G34">
        <v>3.9379999999999997E-3</v>
      </c>
      <c r="H34">
        <v>2.6970000000000002E-3</v>
      </c>
    </row>
    <row r="35" spans="3:8" x14ac:dyDescent="0.2">
      <c r="C35" t="s">
        <v>6</v>
      </c>
      <c r="D35">
        <v>37.503298999999998</v>
      </c>
      <c r="E35">
        <v>1.3328409999999999</v>
      </c>
      <c r="F35">
        <v>1.3611660000000001</v>
      </c>
      <c r="G35">
        <v>1.2979999999999999E-3</v>
      </c>
      <c r="H35">
        <v>1.2819999999999999E-3</v>
      </c>
    </row>
    <row r="36" spans="3:8" x14ac:dyDescent="0.2">
      <c r="C36" t="s">
        <v>7</v>
      </c>
      <c r="D36">
        <v>8.564489</v>
      </c>
      <c r="E36">
        <v>0.527563</v>
      </c>
      <c r="F36">
        <v>0.52419000000000004</v>
      </c>
      <c r="G36">
        <v>4.7600000000000002E-4</v>
      </c>
      <c r="H36">
        <v>4.7600000000000002E-4</v>
      </c>
    </row>
    <row r="37" spans="3:8" x14ac:dyDescent="0.2">
      <c r="C37" t="s">
        <v>8</v>
      </c>
      <c r="D37">
        <v>66078.102662000005</v>
      </c>
      <c r="E37">
        <v>28.419682999999999</v>
      </c>
      <c r="F37">
        <v>11.720140000000001</v>
      </c>
      <c r="G37">
        <v>9.3879000000000004E-2</v>
      </c>
      <c r="H37">
        <v>6.6829E-2</v>
      </c>
    </row>
    <row r="38" spans="3:8" x14ac:dyDescent="0.2">
      <c r="C38" t="s">
        <v>9</v>
      </c>
      <c r="D38">
        <v>202.20517599999999</v>
      </c>
      <c r="E38">
        <v>1.432804</v>
      </c>
      <c r="F38">
        <v>1.3799969999999999</v>
      </c>
      <c r="G38">
        <v>4.4390000000000002E-3</v>
      </c>
      <c r="H38">
        <v>2.6189999999999998E-3</v>
      </c>
    </row>
    <row r="39" spans="3:8" x14ac:dyDescent="0.2">
      <c r="C39" t="s">
        <v>10</v>
      </c>
      <c r="D39">
        <v>7680.8759970000001</v>
      </c>
      <c r="E39">
        <v>4.6913580000000001</v>
      </c>
      <c r="F39">
        <v>4.2844110000000004</v>
      </c>
      <c r="G39">
        <v>6.3513E-2</v>
      </c>
      <c r="H39">
        <v>6.3146999999999995E-2</v>
      </c>
    </row>
    <row r="40" spans="3:8" x14ac:dyDescent="0.2">
      <c r="C40" t="s">
        <v>11</v>
      </c>
      <c r="D40">
        <v>4182.399727</v>
      </c>
      <c r="E40">
        <v>13.941046999999999</v>
      </c>
      <c r="F40">
        <v>13.740868000000001</v>
      </c>
      <c r="G40">
        <v>6.3059000000000004E-2</v>
      </c>
      <c r="H40">
        <v>6.2990000000000004E-2</v>
      </c>
    </row>
    <row r="41" spans="3:8" x14ac:dyDescent="0.2">
      <c r="C41" t="s">
        <v>12</v>
      </c>
      <c r="D41">
        <v>12488.740818</v>
      </c>
      <c r="E41">
        <v>10.854544000000001</v>
      </c>
      <c r="F41">
        <v>8.2521830000000005</v>
      </c>
      <c r="G41">
        <v>1.2376E-2</v>
      </c>
      <c r="H41">
        <v>5.4089999999999997E-3</v>
      </c>
    </row>
    <row r="42" spans="3:8" x14ac:dyDescent="0.2">
      <c r="C42" t="s">
        <v>13</v>
      </c>
      <c r="D42">
        <v>99.326432999999994</v>
      </c>
      <c r="E42">
        <v>1.3653489999999999</v>
      </c>
      <c r="F42">
        <v>1.3552630000000001</v>
      </c>
      <c r="G42">
        <v>1.983E-3</v>
      </c>
      <c r="H42">
        <v>1.9719999999999998E-3</v>
      </c>
    </row>
    <row r="43" spans="3:8" x14ac:dyDescent="0.2">
      <c r="C43" t="s">
        <v>14</v>
      </c>
      <c r="D43">
        <v>162.96384699999999</v>
      </c>
      <c r="E43">
        <v>5.3351559999999996</v>
      </c>
      <c r="F43">
        <v>9.5682659999999995</v>
      </c>
      <c r="G43">
        <v>1.2719999999999999E-3</v>
      </c>
      <c r="H43">
        <v>1.2719999999999999E-3</v>
      </c>
    </row>
    <row r="44" spans="3:8" x14ac:dyDescent="0.2">
      <c r="C44" t="s">
        <v>15</v>
      </c>
      <c r="D44">
        <v>38.061470999999997</v>
      </c>
      <c r="E44">
        <v>0.51993800000000001</v>
      </c>
      <c r="F44">
        <v>0.53575799999999996</v>
      </c>
      <c r="G44">
        <v>4.7600000000000002E-4</v>
      </c>
      <c r="H44">
        <v>4.7600000000000002E-4</v>
      </c>
    </row>
    <row r="45" spans="3:8" x14ac:dyDescent="0.2">
      <c r="C45" t="s">
        <v>16</v>
      </c>
      <c r="D45">
        <v>171.035595</v>
      </c>
      <c r="E45">
        <v>1.4198459999999999</v>
      </c>
      <c r="F45">
        <v>1.3689610000000001</v>
      </c>
      <c r="G45">
        <v>1.6429999999999999E-3</v>
      </c>
      <c r="H45">
        <v>1.629E-3</v>
      </c>
    </row>
    <row r="46" spans="3:8" x14ac:dyDescent="0.2">
      <c r="C46" t="s">
        <v>17</v>
      </c>
      <c r="D46">
        <v>752.91072299999996</v>
      </c>
      <c r="E46">
        <v>4.1823959999999998</v>
      </c>
      <c r="F46">
        <v>3.978205</v>
      </c>
      <c r="G46">
        <v>2.954E-3</v>
      </c>
      <c r="H46">
        <v>2.5309999999999998E-3</v>
      </c>
    </row>
    <row r="47" spans="3:8" x14ac:dyDescent="0.2">
      <c r="C47" t="s">
        <v>18</v>
      </c>
      <c r="D47">
        <v>957.45544600000005</v>
      </c>
      <c r="E47">
        <v>12.094716</v>
      </c>
      <c r="F47">
        <v>11.158803000000001</v>
      </c>
      <c r="G47">
        <v>4.3290000000000004E-3</v>
      </c>
      <c r="H47">
        <v>2.588E-3</v>
      </c>
    </row>
    <row r="48" spans="3:8" x14ac:dyDescent="0.2">
      <c r="C48" t="s">
        <v>19</v>
      </c>
      <c r="D48">
        <v>458.60133400000001</v>
      </c>
      <c r="E48">
        <v>3.9590719999999999</v>
      </c>
      <c r="F48">
        <v>3.0639910000000001</v>
      </c>
      <c r="G48">
        <v>2.3470000000000001E-3</v>
      </c>
      <c r="H48">
        <v>2.333E-3</v>
      </c>
    </row>
    <row r="49" spans="2:12" x14ac:dyDescent="0.2">
      <c r="C49" t="s">
        <v>20</v>
      </c>
      <c r="D49">
        <v>272.09063600000002</v>
      </c>
      <c r="E49">
        <v>8.9663679999999992</v>
      </c>
      <c r="F49">
        <v>9.5795019999999997</v>
      </c>
      <c r="G49">
        <v>1.9710000000000001E-3</v>
      </c>
      <c r="H49">
        <v>1.9710000000000001E-3</v>
      </c>
    </row>
    <row r="50" spans="2:12" x14ac:dyDescent="0.2">
      <c r="C50" t="s">
        <v>21</v>
      </c>
      <c r="D50">
        <v>280.32269100000002</v>
      </c>
      <c r="E50">
        <v>9.6877610000000001</v>
      </c>
      <c r="F50">
        <v>7.6651930000000004</v>
      </c>
      <c r="G50">
        <v>1.6280000000000001E-3</v>
      </c>
      <c r="H50">
        <v>1.6280000000000001E-3</v>
      </c>
    </row>
    <row r="51" spans="2:12" x14ac:dyDescent="0.2">
      <c r="C51" t="s">
        <v>22</v>
      </c>
      <c r="D51">
        <v>231.64361199999999</v>
      </c>
      <c r="E51">
        <v>9.3708570000000009</v>
      </c>
      <c r="F51">
        <v>7.0535259999999997</v>
      </c>
      <c r="G51">
        <v>1.2719999999999999E-3</v>
      </c>
      <c r="H51">
        <v>1.2719999999999999E-3</v>
      </c>
    </row>
    <row r="52" spans="2:12" x14ac:dyDescent="0.2">
      <c r="C52" t="s">
        <v>23</v>
      </c>
      <c r="D52">
        <v>192.47397699999999</v>
      </c>
      <c r="E52">
        <v>9.0869890000000009</v>
      </c>
      <c r="F52">
        <v>5.0379849999999999</v>
      </c>
      <c r="G52">
        <v>4.7600000000000002E-4</v>
      </c>
      <c r="H52">
        <v>4.7600000000000002E-4</v>
      </c>
    </row>
    <row r="54" spans="2:12" x14ac:dyDescent="0.2">
      <c r="B54" t="s">
        <v>30</v>
      </c>
      <c r="C54" t="s">
        <v>27</v>
      </c>
      <c r="D54" t="s">
        <v>26</v>
      </c>
      <c r="E54" t="s">
        <v>24</v>
      </c>
      <c r="F54" t="s">
        <v>25</v>
      </c>
      <c r="G54">
        <v>32</v>
      </c>
      <c r="H54">
        <v>64</v>
      </c>
      <c r="I54" t="s">
        <v>33</v>
      </c>
      <c r="J54" t="s">
        <v>34</v>
      </c>
      <c r="K54" t="s">
        <v>35</v>
      </c>
      <c r="L54" t="s">
        <v>36</v>
      </c>
    </row>
    <row r="55" spans="2:12" x14ac:dyDescent="0.2">
      <c r="C55" t="s">
        <v>0</v>
      </c>
      <c r="D55">
        <v>9062.4186339999997</v>
      </c>
      <c r="E55">
        <v>33.129019999999997</v>
      </c>
      <c r="F55">
        <v>21.898681</v>
      </c>
      <c r="G55">
        <v>1.7038999999999999E-2</v>
      </c>
      <c r="H55">
        <v>7.2919999999999999E-3</v>
      </c>
    </row>
    <row r="56" spans="2:12" x14ac:dyDescent="0.2">
      <c r="C56" t="s">
        <v>1</v>
      </c>
      <c r="D56">
        <v>12265.041940999999</v>
      </c>
      <c r="E56">
        <v>70.961156000000003</v>
      </c>
      <c r="F56">
        <v>41.958064999999998</v>
      </c>
      <c r="G56">
        <v>3.4888000000000002E-2</v>
      </c>
      <c r="H56">
        <v>2.6575000000000001E-2</v>
      </c>
    </row>
    <row r="57" spans="2:12" x14ac:dyDescent="0.2">
      <c r="C57" t="s">
        <v>2</v>
      </c>
      <c r="D57">
        <v>570.890624</v>
      </c>
      <c r="E57">
        <v>6.0085360000000003</v>
      </c>
      <c r="F57">
        <v>6.5378049999999996</v>
      </c>
      <c r="G57">
        <v>2.715E-3</v>
      </c>
      <c r="H57">
        <v>1.526E-3</v>
      </c>
    </row>
    <row r="58" spans="2:12" x14ac:dyDescent="0.2">
      <c r="C58" t="s">
        <v>3</v>
      </c>
      <c r="D58">
        <v>1128.549636</v>
      </c>
      <c r="E58">
        <v>6.2831080000000004</v>
      </c>
      <c r="F58">
        <v>4.4458760000000002</v>
      </c>
      <c r="G58">
        <v>2.2443000000000001E-2</v>
      </c>
      <c r="H58">
        <v>2.2443000000000001E-2</v>
      </c>
    </row>
    <row r="59" spans="2:12" x14ac:dyDescent="0.2">
      <c r="C59" t="s">
        <v>4</v>
      </c>
      <c r="D59">
        <v>93.350559000000004</v>
      </c>
      <c r="E59">
        <v>1.9692430000000001</v>
      </c>
      <c r="F59">
        <v>1.4998579999999999</v>
      </c>
      <c r="G59">
        <v>1.1299999999999999E-3</v>
      </c>
      <c r="H59">
        <v>7.7999999999999999E-4</v>
      </c>
    </row>
    <row r="60" spans="2:12" x14ac:dyDescent="0.2">
      <c r="C60" t="s">
        <v>5</v>
      </c>
      <c r="D60">
        <v>154.31063900000001</v>
      </c>
      <c r="E60">
        <v>4.3456390000000003</v>
      </c>
      <c r="F60">
        <v>3.9962360000000001</v>
      </c>
      <c r="G60">
        <v>1.4729999999999999E-3</v>
      </c>
      <c r="H60">
        <v>9.8700000000000003E-4</v>
      </c>
    </row>
    <row r="61" spans="2:12" x14ac:dyDescent="0.2">
      <c r="C61" t="s">
        <v>6</v>
      </c>
      <c r="D61">
        <v>37.407325</v>
      </c>
      <c r="E61">
        <v>1.5412570000000001</v>
      </c>
      <c r="F61">
        <v>1.558624</v>
      </c>
      <c r="G61">
        <v>4.6999999999999999E-4</v>
      </c>
      <c r="H61">
        <v>4.6299999999999998E-4</v>
      </c>
    </row>
    <row r="62" spans="2:12" x14ac:dyDescent="0.2">
      <c r="C62" t="s">
        <v>7</v>
      </c>
      <c r="D62">
        <v>29.609991000000001</v>
      </c>
      <c r="E62">
        <v>0.51937500000000003</v>
      </c>
      <c r="F62">
        <v>0.51222800000000002</v>
      </c>
      <c r="G62">
        <v>1.6799999999999999E-4</v>
      </c>
      <c r="H62">
        <v>1.6799999999999999E-4</v>
      </c>
    </row>
    <row r="63" spans="2:12" x14ac:dyDescent="0.2">
      <c r="C63" t="s">
        <v>8</v>
      </c>
      <c r="D63">
        <v>90281.825807000001</v>
      </c>
      <c r="E63">
        <v>26.526577</v>
      </c>
      <c r="F63">
        <v>8.0276359999999993</v>
      </c>
      <c r="G63">
        <v>3.6311000000000003E-2</v>
      </c>
      <c r="H63">
        <v>2.4097E-2</v>
      </c>
    </row>
    <row r="64" spans="2:12" x14ac:dyDescent="0.2">
      <c r="C64" t="s">
        <v>9</v>
      </c>
      <c r="D64">
        <v>259.082787</v>
      </c>
      <c r="E64">
        <v>1.622609</v>
      </c>
      <c r="F64">
        <v>1.5337160000000001</v>
      </c>
      <c r="G64">
        <v>1.696E-3</v>
      </c>
      <c r="H64">
        <v>9.7199999999999999E-4</v>
      </c>
    </row>
    <row r="65" spans="3:8" x14ac:dyDescent="0.2">
      <c r="C65" t="s">
        <v>10</v>
      </c>
      <c r="D65">
        <v>9496.4484900000007</v>
      </c>
      <c r="E65">
        <v>5.3559900000000003</v>
      </c>
      <c r="F65">
        <v>4.9417710000000001</v>
      </c>
      <c r="G65">
        <v>2.2667E-2</v>
      </c>
      <c r="H65">
        <v>2.2512999999999998E-2</v>
      </c>
    </row>
    <row r="66" spans="3:8" x14ac:dyDescent="0.2">
      <c r="C66" t="s">
        <v>11</v>
      </c>
      <c r="D66">
        <v>5050.4211610000002</v>
      </c>
      <c r="E66">
        <v>6.6548489999999996</v>
      </c>
      <c r="F66">
        <v>5.3644569999999998</v>
      </c>
      <c r="G66">
        <v>2.248E-2</v>
      </c>
      <c r="H66">
        <v>2.2447000000000002E-2</v>
      </c>
    </row>
    <row r="67" spans="3:8" x14ac:dyDescent="0.2">
      <c r="C67" t="s">
        <v>12</v>
      </c>
      <c r="D67">
        <v>16952.479902999999</v>
      </c>
      <c r="E67">
        <v>14.098979</v>
      </c>
      <c r="F67">
        <v>10.434976000000001</v>
      </c>
      <c r="G67">
        <v>4.7559999999999998E-3</v>
      </c>
      <c r="H67">
        <v>2.0439999999999998E-3</v>
      </c>
    </row>
    <row r="68" spans="3:8" x14ac:dyDescent="0.2">
      <c r="C68" t="s">
        <v>13</v>
      </c>
      <c r="D68">
        <v>128.87325200000001</v>
      </c>
      <c r="E68">
        <v>1.5612239999999999</v>
      </c>
      <c r="F68">
        <v>1.5387219999999999</v>
      </c>
      <c r="G68">
        <v>7.1299999999999998E-4</v>
      </c>
      <c r="H68">
        <v>7.0699999999999995E-4</v>
      </c>
    </row>
    <row r="69" spans="3:8" x14ac:dyDescent="0.2">
      <c r="C69" t="s">
        <v>14</v>
      </c>
      <c r="D69">
        <v>101.964111</v>
      </c>
      <c r="E69">
        <v>1.2302839999999999</v>
      </c>
      <c r="F69">
        <v>1.231125</v>
      </c>
      <c r="G69">
        <v>4.5899999999999999E-4</v>
      </c>
      <c r="H69">
        <v>4.5899999999999999E-4</v>
      </c>
    </row>
    <row r="70" spans="3:8" x14ac:dyDescent="0.2">
      <c r="C70" t="s">
        <v>15</v>
      </c>
      <c r="D70">
        <v>14.713884999999999</v>
      </c>
      <c r="E70">
        <v>0.52103600000000005</v>
      </c>
      <c r="F70">
        <v>0.51878199999999997</v>
      </c>
      <c r="G70">
        <v>1.6799999999999999E-4</v>
      </c>
      <c r="H70">
        <v>1.6799999999999999E-4</v>
      </c>
    </row>
    <row r="71" spans="3:8" x14ac:dyDescent="0.2">
      <c r="C71" t="s">
        <v>16</v>
      </c>
      <c r="D71">
        <v>233.39390900000001</v>
      </c>
      <c r="E71">
        <v>1.6123339999999999</v>
      </c>
      <c r="F71">
        <v>1.561194</v>
      </c>
      <c r="G71">
        <v>5.9400000000000002E-4</v>
      </c>
      <c r="H71">
        <v>5.8799999999999998E-4</v>
      </c>
    </row>
    <row r="72" spans="3:8" x14ac:dyDescent="0.2">
      <c r="C72" t="s">
        <v>17</v>
      </c>
      <c r="D72">
        <v>965.42951200000005</v>
      </c>
      <c r="E72">
        <v>4.8268040000000001</v>
      </c>
      <c r="F72">
        <v>4.4354269999999998</v>
      </c>
      <c r="G72">
        <v>1.0759999999999999E-3</v>
      </c>
      <c r="H72">
        <v>9.1100000000000003E-4</v>
      </c>
    </row>
    <row r="73" spans="3:8" x14ac:dyDescent="0.2">
      <c r="C73" t="s">
        <v>18</v>
      </c>
      <c r="D73">
        <v>1289.3677259999999</v>
      </c>
      <c r="E73">
        <v>5.1145810000000003</v>
      </c>
      <c r="F73">
        <v>4.2745290000000002</v>
      </c>
      <c r="G73">
        <v>1.6440000000000001E-3</v>
      </c>
      <c r="H73">
        <v>9.7199999999999999E-4</v>
      </c>
    </row>
    <row r="74" spans="3:8" x14ac:dyDescent="0.2">
      <c r="C74" t="s">
        <v>19</v>
      </c>
      <c r="D74">
        <v>650.98074299999996</v>
      </c>
      <c r="E74">
        <v>3.3368180000000001</v>
      </c>
      <c r="F74">
        <v>3.3980290000000002</v>
      </c>
      <c r="G74">
        <v>8.3799999999999999E-4</v>
      </c>
      <c r="H74">
        <v>8.34E-4</v>
      </c>
    </row>
    <row r="75" spans="3:8" x14ac:dyDescent="0.2">
      <c r="C75" t="s">
        <v>20</v>
      </c>
      <c r="D75">
        <v>167.25370699999999</v>
      </c>
      <c r="E75">
        <v>1.2112289999999999</v>
      </c>
      <c r="F75">
        <v>1.2244520000000001</v>
      </c>
      <c r="G75">
        <v>7.0699999999999995E-4</v>
      </c>
      <c r="H75">
        <v>7.0699999999999995E-4</v>
      </c>
    </row>
    <row r="76" spans="3:8" x14ac:dyDescent="0.2">
      <c r="C76" t="s">
        <v>21</v>
      </c>
      <c r="D76">
        <v>314.44477499999999</v>
      </c>
      <c r="E76">
        <v>9.8712490000000006</v>
      </c>
      <c r="F76">
        <v>10.039543999999999</v>
      </c>
      <c r="G76">
        <v>5.8799999999999998E-4</v>
      </c>
      <c r="H76">
        <v>5.8699999999999996E-4</v>
      </c>
    </row>
    <row r="77" spans="3:8" x14ac:dyDescent="0.2">
      <c r="C77" t="s">
        <v>22</v>
      </c>
      <c r="D77">
        <v>104.44470200000001</v>
      </c>
      <c r="E77">
        <v>1.2166589999999999</v>
      </c>
      <c r="F77">
        <v>1.1850780000000001</v>
      </c>
      <c r="G77">
        <v>4.5899999999999999E-4</v>
      </c>
      <c r="H77">
        <v>4.5899999999999999E-4</v>
      </c>
    </row>
    <row r="78" spans="3:8" x14ac:dyDescent="0.2">
      <c r="C78" t="s">
        <v>23</v>
      </c>
      <c r="D78">
        <v>23.094985000000001</v>
      </c>
      <c r="E78">
        <v>0.51388199999999995</v>
      </c>
      <c r="F78">
        <v>0.50902499999999995</v>
      </c>
      <c r="G78">
        <v>1.6799999999999999E-4</v>
      </c>
      <c r="H78">
        <v>1.6799999999999999E-4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0178-CD7E-4646-A9BC-C68820550992}">
  <dimension ref="B2:N78"/>
  <sheetViews>
    <sheetView workbookViewId="0">
      <selection activeCell="H71" sqref="H71"/>
    </sheetView>
  </sheetViews>
  <sheetFormatPr baseColWidth="10" defaultRowHeight="16" x14ac:dyDescent="0.2"/>
  <cols>
    <col min="4" max="4" width="13.6640625" customWidth="1"/>
    <col min="5" max="5" width="18.6640625" customWidth="1"/>
    <col min="9" max="9" width="24" customWidth="1"/>
    <col min="10" max="10" width="23.1640625" customWidth="1"/>
    <col min="11" max="11" width="17.6640625" customWidth="1"/>
    <col min="12" max="12" width="22.83203125" customWidth="1"/>
    <col min="13" max="13" width="23.6640625" customWidth="1"/>
    <col min="14" max="14" width="18.1640625" customWidth="1"/>
  </cols>
  <sheetData>
    <row r="2" spans="2:14" x14ac:dyDescent="0.2">
      <c r="B2" t="s">
        <v>28</v>
      </c>
      <c r="C2" t="s">
        <v>27</v>
      </c>
      <c r="D2" t="s">
        <v>26</v>
      </c>
      <c r="E2" t="s">
        <v>24</v>
      </c>
      <c r="F2" t="s">
        <v>25</v>
      </c>
      <c r="G2">
        <v>32</v>
      </c>
      <c r="H2">
        <v>64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</row>
    <row r="3" spans="2:14" x14ac:dyDescent="0.2">
      <c r="C3" t="s">
        <v>0</v>
      </c>
      <c r="D3">
        <v>10584.24115</v>
      </c>
      <c r="E3">
        <v>39.863247000000001</v>
      </c>
      <c r="F3">
        <v>35.738593000000002</v>
      </c>
      <c r="G3">
        <v>8.0660000000000003E-3</v>
      </c>
      <c r="H3">
        <v>4.2170000000000003E-3</v>
      </c>
    </row>
    <row r="4" spans="2:14" x14ac:dyDescent="0.2">
      <c r="C4" t="s">
        <v>1</v>
      </c>
      <c r="D4">
        <v>15844.489544</v>
      </c>
      <c r="E4">
        <v>169.035776</v>
      </c>
      <c r="F4">
        <v>63.627181999999998</v>
      </c>
      <c r="G4">
        <v>5.5633000000000002E-2</v>
      </c>
      <c r="H4">
        <v>4.8174000000000002E-2</v>
      </c>
    </row>
    <row r="5" spans="2:14" x14ac:dyDescent="0.2">
      <c r="C5" t="s">
        <v>2</v>
      </c>
      <c r="D5">
        <v>1143.410198</v>
      </c>
      <c r="E5">
        <v>13.855346000000001</v>
      </c>
      <c r="F5">
        <v>8.5767380000000006</v>
      </c>
      <c r="G5">
        <v>1.616E-3</v>
      </c>
      <c r="H5">
        <v>9.2599999999999996E-4</v>
      </c>
    </row>
    <row r="6" spans="2:14" x14ac:dyDescent="0.2">
      <c r="C6" t="s">
        <v>3</v>
      </c>
      <c r="D6">
        <v>2329.9548340000001</v>
      </c>
      <c r="E6">
        <v>9.7896470000000004</v>
      </c>
      <c r="F6">
        <v>6.6273749999999998</v>
      </c>
      <c r="G6">
        <v>4.5387999999999998E-2</v>
      </c>
      <c r="H6">
        <v>4.5387999999999998E-2</v>
      </c>
    </row>
    <row r="7" spans="2:14" x14ac:dyDescent="0.2">
      <c r="C7" t="s">
        <v>4</v>
      </c>
      <c r="D7">
        <v>191.51637400000001</v>
      </c>
      <c r="E7">
        <v>2.3317839999999999</v>
      </c>
      <c r="F7">
        <v>1.9254230000000001</v>
      </c>
      <c r="G7">
        <v>6.4000000000000005E-4</v>
      </c>
      <c r="H7">
        <v>4.8299999999999998E-4</v>
      </c>
    </row>
    <row r="8" spans="2:14" x14ac:dyDescent="0.2">
      <c r="C8" t="s">
        <v>5</v>
      </c>
      <c r="D8">
        <v>309.52402000000001</v>
      </c>
      <c r="E8">
        <v>4.8612039999999999</v>
      </c>
      <c r="F8">
        <v>4.6295380000000002</v>
      </c>
      <c r="G8">
        <v>8.34E-4</v>
      </c>
      <c r="H8">
        <v>5.8100000000000003E-4</v>
      </c>
    </row>
    <row r="9" spans="2:14" x14ac:dyDescent="0.2">
      <c r="C9" t="s">
        <v>6</v>
      </c>
      <c r="D9">
        <v>73.896857999999995</v>
      </c>
      <c r="E9">
        <v>1.6728510000000001</v>
      </c>
      <c r="F9">
        <v>1.561852</v>
      </c>
      <c r="G9">
        <v>3.4200000000000002E-4</v>
      </c>
      <c r="H9">
        <v>3.3700000000000001E-4</v>
      </c>
    </row>
    <row r="10" spans="2:14" x14ac:dyDescent="0.2">
      <c r="C10" t="s">
        <v>7</v>
      </c>
      <c r="D10">
        <v>18.20927</v>
      </c>
      <c r="E10">
        <v>0.95601100000000006</v>
      </c>
      <c r="F10">
        <v>0.94704100000000002</v>
      </c>
      <c r="G10">
        <v>1.3200000000000001E-4</v>
      </c>
      <c r="H10">
        <v>1.3200000000000001E-4</v>
      </c>
    </row>
    <row r="11" spans="2:14" x14ac:dyDescent="0.2">
      <c r="C11" t="s">
        <v>8</v>
      </c>
      <c r="D11">
        <v>149909.28753599999</v>
      </c>
      <c r="E11">
        <v>47.645705999999997</v>
      </c>
      <c r="F11">
        <v>15.75018</v>
      </c>
      <c r="G11">
        <v>5.8637000000000002E-2</v>
      </c>
      <c r="H11">
        <v>4.7211000000000003E-2</v>
      </c>
    </row>
    <row r="12" spans="2:14" x14ac:dyDescent="0.2">
      <c r="C12" t="s">
        <v>9</v>
      </c>
      <c r="D12">
        <v>1910.878019</v>
      </c>
      <c r="E12">
        <v>10.665952000000001</v>
      </c>
      <c r="F12">
        <v>9.9430350000000001</v>
      </c>
      <c r="G12">
        <v>1.0280000000000001E-3</v>
      </c>
      <c r="H12">
        <v>5.7799999999999995E-4</v>
      </c>
    </row>
    <row r="13" spans="2:14" x14ac:dyDescent="0.2">
      <c r="C13" t="s">
        <v>10</v>
      </c>
      <c r="D13">
        <v>20038.886341000001</v>
      </c>
      <c r="E13">
        <v>8.5089989999999993</v>
      </c>
      <c r="F13">
        <v>6.1169849999999997</v>
      </c>
      <c r="G13">
        <v>4.5569999999999999E-2</v>
      </c>
      <c r="H13">
        <v>4.5461000000000001E-2</v>
      </c>
    </row>
    <row r="14" spans="2:14" x14ac:dyDescent="0.2">
      <c r="C14" t="s">
        <v>11</v>
      </c>
      <c r="D14">
        <v>16431.026188</v>
      </c>
      <c r="E14">
        <v>11.415488</v>
      </c>
      <c r="F14">
        <v>8.6756659999999997</v>
      </c>
      <c r="G14">
        <v>4.5506999999999999E-2</v>
      </c>
      <c r="H14">
        <v>4.5400999999999997E-2</v>
      </c>
    </row>
    <row r="15" spans="2:14" x14ac:dyDescent="0.2">
      <c r="C15" t="s">
        <v>12</v>
      </c>
      <c r="D15">
        <v>114232.45116</v>
      </c>
      <c r="E15">
        <v>33.827052000000002</v>
      </c>
      <c r="F15">
        <v>19.969391999999999</v>
      </c>
      <c r="G15">
        <v>2.7490000000000001E-3</v>
      </c>
      <c r="H15">
        <v>1.2700000000000001E-3</v>
      </c>
    </row>
    <row r="16" spans="2:14" x14ac:dyDescent="0.2">
      <c r="C16" t="s">
        <v>13</v>
      </c>
      <c r="D16">
        <v>864.942092</v>
      </c>
      <c r="E16">
        <v>1.6367430000000001</v>
      </c>
      <c r="F16">
        <v>1.5870930000000001</v>
      </c>
      <c r="G16">
        <v>4.75E-4</v>
      </c>
      <c r="H16">
        <v>4.6299999999999998E-4</v>
      </c>
    </row>
    <row r="17" spans="2:14" x14ac:dyDescent="0.2">
      <c r="C17" t="s">
        <v>14</v>
      </c>
      <c r="D17">
        <v>264.137653</v>
      </c>
      <c r="E17">
        <v>1.454402</v>
      </c>
      <c r="F17">
        <v>1.3268059999999999</v>
      </c>
      <c r="G17">
        <v>3.3500000000000001E-4</v>
      </c>
      <c r="H17">
        <v>3.3399999999999999E-4</v>
      </c>
    </row>
    <row r="18" spans="2:14" x14ac:dyDescent="0.2">
      <c r="C18" t="s">
        <v>15</v>
      </c>
      <c r="D18">
        <v>59.565958999999999</v>
      </c>
      <c r="E18">
        <v>0.96398600000000001</v>
      </c>
      <c r="F18">
        <v>0.94962100000000005</v>
      </c>
      <c r="G18">
        <v>1.3200000000000001E-4</v>
      </c>
      <c r="H18">
        <v>1.3200000000000001E-4</v>
      </c>
    </row>
    <row r="19" spans="2:14" x14ac:dyDescent="0.2">
      <c r="C19" t="s">
        <v>16</v>
      </c>
      <c r="D19">
        <v>7206.9403750000001</v>
      </c>
      <c r="E19">
        <v>6.0779699999999997</v>
      </c>
      <c r="F19">
        <v>2.7027510000000001</v>
      </c>
      <c r="G19">
        <v>4.17E-4</v>
      </c>
      <c r="H19">
        <v>4.0099999999999999E-4</v>
      </c>
    </row>
    <row r="20" spans="2:14" x14ac:dyDescent="0.2">
      <c r="C20" t="s">
        <v>17</v>
      </c>
      <c r="D20">
        <v>264239.03024300002</v>
      </c>
      <c r="E20">
        <v>9.3080590000000001</v>
      </c>
      <c r="F20">
        <v>5.1083239999999996</v>
      </c>
      <c r="G20">
        <v>7.5199999999999996E-4</v>
      </c>
      <c r="H20">
        <v>5.8200000000000005E-4</v>
      </c>
    </row>
    <row r="21" spans="2:14" x14ac:dyDescent="0.2">
      <c r="C21" t="s">
        <v>18</v>
      </c>
      <c r="D21">
        <v>131554.294972</v>
      </c>
      <c r="E21">
        <v>6.6527500000000002</v>
      </c>
      <c r="F21">
        <v>4.997687</v>
      </c>
      <c r="G21">
        <v>9.859999999999999E-4</v>
      </c>
      <c r="H21">
        <v>5.7300000000000005E-4</v>
      </c>
    </row>
    <row r="22" spans="2:14" x14ac:dyDescent="0.2">
      <c r="C22" t="s">
        <v>19</v>
      </c>
      <c r="D22">
        <v>147297.51915099999</v>
      </c>
      <c r="E22">
        <v>8.7727020000000007</v>
      </c>
      <c r="F22">
        <v>4.517601</v>
      </c>
      <c r="G22">
        <v>5.5599999999999996E-4</v>
      </c>
      <c r="H22">
        <v>5.3200000000000003E-4</v>
      </c>
    </row>
    <row r="23" spans="2:14" x14ac:dyDescent="0.2">
      <c r="C23" t="s">
        <v>20</v>
      </c>
      <c r="D23">
        <v>6980.4003519999997</v>
      </c>
      <c r="E23">
        <v>1.5553779999999999</v>
      </c>
      <c r="F23">
        <v>1.360771</v>
      </c>
      <c r="G23">
        <v>4.6200000000000001E-4</v>
      </c>
      <c r="H23">
        <v>4.6099999999999998E-4</v>
      </c>
    </row>
    <row r="24" spans="2:14" x14ac:dyDescent="0.2">
      <c r="C24" t="s">
        <v>21</v>
      </c>
      <c r="D24">
        <v>22693.616623000002</v>
      </c>
      <c r="E24">
        <v>2.6422129999999999</v>
      </c>
      <c r="F24">
        <v>1.5996779999999999</v>
      </c>
      <c r="G24">
        <v>4.0499999999999998E-4</v>
      </c>
      <c r="H24">
        <v>3.9899999999999999E-4</v>
      </c>
    </row>
    <row r="25" spans="2:14" x14ac:dyDescent="0.2">
      <c r="C25" t="s">
        <v>22</v>
      </c>
      <c r="D25">
        <v>971.81348300000002</v>
      </c>
      <c r="E25">
        <v>1.5601750000000001</v>
      </c>
      <c r="F25">
        <v>1.5049950000000001</v>
      </c>
      <c r="G25">
        <v>3.3399999999999999E-4</v>
      </c>
      <c r="H25">
        <v>3.3399999999999999E-4</v>
      </c>
    </row>
    <row r="26" spans="2:14" x14ac:dyDescent="0.2">
      <c r="C26" t="s">
        <v>23</v>
      </c>
      <c r="D26">
        <v>285.28610200000003</v>
      </c>
      <c r="E26">
        <v>0.96771799999999997</v>
      </c>
      <c r="F26">
        <v>0.95895200000000003</v>
      </c>
      <c r="G26">
        <v>1.3200000000000001E-4</v>
      </c>
      <c r="H26">
        <v>1.3200000000000001E-4</v>
      </c>
    </row>
    <row r="28" spans="2:14" x14ac:dyDescent="0.2">
      <c r="B28" t="s">
        <v>29</v>
      </c>
      <c r="C28" t="s">
        <v>27</v>
      </c>
      <c r="D28" t="s">
        <v>26</v>
      </c>
      <c r="E28" t="s">
        <v>24</v>
      </c>
      <c r="F28" t="s">
        <v>25</v>
      </c>
      <c r="G28">
        <v>32</v>
      </c>
      <c r="H28">
        <v>64</v>
      </c>
      <c r="I28" t="s">
        <v>33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</row>
    <row r="29" spans="2:14" x14ac:dyDescent="0.2">
      <c r="C29" t="s">
        <v>0</v>
      </c>
      <c r="D29">
        <v>6702.7611850000003</v>
      </c>
      <c r="E29">
        <v>55.726339000000003</v>
      </c>
      <c r="F29">
        <v>33.322276000000002</v>
      </c>
      <c r="G29">
        <v>8.5674E-2</v>
      </c>
      <c r="H29">
        <v>3.8468000000000002E-2</v>
      </c>
    </row>
    <row r="30" spans="2:14" x14ac:dyDescent="0.2">
      <c r="C30" t="s">
        <v>1</v>
      </c>
      <c r="D30">
        <v>11889.224591</v>
      </c>
      <c r="E30">
        <v>131.279833</v>
      </c>
      <c r="F30">
        <v>63.811902000000003</v>
      </c>
      <c r="G30">
        <v>0.170181</v>
      </c>
      <c r="H30">
        <v>0.135903</v>
      </c>
    </row>
    <row r="31" spans="2:14" x14ac:dyDescent="0.2">
      <c r="C31" t="s">
        <v>2</v>
      </c>
      <c r="D31">
        <v>844.03958699999998</v>
      </c>
      <c r="E31">
        <v>12.530639000000001</v>
      </c>
      <c r="F31">
        <v>12.734534999999999</v>
      </c>
      <c r="G31">
        <v>1.4396000000000001E-2</v>
      </c>
      <c r="H31">
        <v>8.2419999999999993E-3</v>
      </c>
    </row>
    <row r="32" spans="2:14" x14ac:dyDescent="0.2">
      <c r="C32" t="s">
        <v>3</v>
      </c>
      <c r="D32">
        <v>2019.5399540000001</v>
      </c>
      <c r="E32">
        <v>11.339368</v>
      </c>
      <c r="F32">
        <v>8.9840300000000006</v>
      </c>
      <c r="G32">
        <v>0.117382</v>
      </c>
      <c r="H32">
        <v>0.117382</v>
      </c>
    </row>
    <row r="33" spans="3:8" x14ac:dyDescent="0.2">
      <c r="C33" t="s">
        <v>4</v>
      </c>
      <c r="D33">
        <v>229.43337500000001</v>
      </c>
      <c r="E33">
        <v>3.3843730000000001</v>
      </c>
      <c r="F33">
        <v>3.2536890000000001</v>
      </c>
      <c r="G33">
        <v>6.019E-3</v>
      </c>
      <c r="H33">
        <v>4.2389999999999997E-3</v>
      </c>
    </row>
    <row r="34" spans="3:8" x14ac:dyDescent="0.2">
      <c r="C34" t="s">
        <v>5</v>
      </c>
      <c r="D34">
        <v>396.55769700000002</v>
      </c>
      <c r="E34">
        <v>8.2612159999999992</v>
      </c>
      <c r="F34">
        <v>7.6025489999999998</v>
      </c>
      <c r="G34">
        <v>7.8790000000000006E-3</v>
      </c>
      <c r="H34">
        <v>5.3749999999999996E-3</v>
      </c>
    </row>
    <row r="35" spans="3:8" x14ac:dyDescent="0.2">
      <c r="C35" t="s">
        <v>6</v>
      </c>
      <c r="D35">
        <v>71.710963000000007</v>
      </c>
      <c r="E35">
        <v>2.782305</v>
      </c>
      <c r="F35">
        <v>2.9070990000000001</v>
      </c>
      <c r="G35">
        <v>2.5929999999999998E-3</v>
      </c>
      <c r="H35">
        <v>2.5600000000000002E-3</v>
      </c>
    </row>
    <row r="36" spans="3:8" x14ac:dyDescent="0.2">
      <c r="C36" t="s">
        <v>7</v>
      </c>
      <c r="D36">
        <v>20.765753</v>
      </c>
      <c r="E36">
        <v>1.045512</v>
      </c>
      <c r="F36">
        <v>1.0653699999999999</v>
      </c>
      <c r="G36">
        <v>9.2800000000000001E-4</v>
      </c>
      <c r="H36">
        <v>9.2800000000000001E-4</v>
      </c>
    </row>
    <row r="37" spans="3:8" x14ac:dyDescent="0.2">
      <c r="C37" t="s">
        <v>8</v>
      </c>
      <c r="D37">
        <v>126818.321635</v>
      </c>
      <c r="E37">
        <v>59.394379999999998</v>
      </c>
      <c r="F37">
        <v>26.486239000000001</v>
      </c>
      <c r="G37">
        <v>0.170344</v>
      </c>
      <c r="H37">
        <v>0.12396600000000001</v>
      </c>
    </row>
    <row r="38" spans="3:8" x14ac:dyDescent="0.2">
      <c r="C38" t="s">
        <v>9</v>
      </c>
      <c r="D38">
        <v>384.449254</v>
      </c>
      <c r="E38">
        <v>2.8322790000000002</v>
      </c>
      <c r="F38">
        <v>2.6997879999999999</v>
      </c>
      <c r="G38">
        <v>8.8269999999999998E-3</v>
      </c>
      <c r="H38">
        <v>5.1859999999999996E-3</v>
      </c>
    </row>
    <row r="39" spans="3:8" x14ac:dyDescent="0.2">
      <c r="C39" t="s">
        <v>10</v>
      </c>
      <c r="D39">
        <v>14841.569769</v>
      </c>
      <c r="E39">
        <v>9.0554620000000003</v>
      </c>
      <c r="F39">
        <v>8.8820910000000008</v>
      </c>
      <c r="G39">
        <v>0.118308</v>
      </c>
      <c r="H39">
        <v>0.117677</v>
      </c>
    </row>
    <row r="40" spans="3:8" x14ac:dyDescent="0.2">
      <c r="C40" t="s">
        <v>11</v>
      </c>
      <c r="D40">
        <v>8046.7807750000002</v>
      </c>
      <c r="E40">
        <v>10.618824</v>
      </c>
      <c r="F40">
        <v>9.9736539999999998</v>
      </c>
      <c r="G40">
        <v>0.11752799999999999</v>
      </c>
      <c r="H40">
        <v>0.117399</v>
      </c>
    </row>
    <row r="41" spans="3:8" x14ac:dyDescent="0.2">
      <c r="C41" t="s">
        <v>12</v>
      </c>
      <c r="D41">
        <v>23864.962543000001</v>
      </c>
      <c r="E41">
        <v>20.942920999999998</v>
      </c>
      <c r="F41">
        <v>15.678663999999999</v>
      </c>
      <c r="G41">
        <v>2.4419E-2</v>
      </c>
      <c r="H41">
        <v>1.0781000000000001E-2</v>
      </c>
    </row>
    <row r="42" spans="3:8" x14ac:dyDescent="0.2">
      <c r="C42" t="s">
        <v>13</v>
      </c>
      <c r="D42">
        <v>194.721441</v>
      </c>
      <c r="E42">
        <v>2.7663790000000001</v>
      </c>
      <c r="F42">
        <v>2.7220689999999998</v>
      </c>
      <c r="G42">
        <v>3.9560000000000003E-3</v>
      </c>
      <c r="H42">
        <v>3.9309999999999996E-3</v>
      </c>
    </row>
    <row r="43" spans="3:8" x14ac:dyDescent="0.2">
      <c r="C43" t="s">
        <v>14</v>
      </c>
      <c r="D43">
        <v>103.53423100000001</v>
      </c>
      <c r="E43">
        <v>2.3851049999999998</v>
      </c>
      <c r="F43">
        <v>2.3201719999999999</v>
      </c>
      <c r="G43">
        <v>2.5400000000000002E-3</v>
      </c>
      <c r="H43">
        <v>2.5400000000000002E-3</v>
      </c>
    </row>
    <row r="44" spans="3:8" x14ac:dyDescent="0.2">
      <c r="C44" t="s">
        <v>15</v>
      </c>
      <c r="D44">
        <v>23.792214999999999</v>
      </c>
      <c r="E44">
        <v>1.0549230000000001</v>
      </c>
      <c r="F44">
        <v>1.0736140000000001</v>
      </c>
      <c r="G44">
        <v>9.2800000000000001E-4</v>
      </c>
      <c r="H44">
        <v>9.2800000000000001E-4</v>
      </c>
    </row>
    <row r="45" spans="3:8" x14ac:dyDescent="0.2">
      <c r="C45" t="s">
        <v>16</v>
      </c>
      <c r="D45">
        <v>309.00501700000001</v>
      </c>
      <c r="E45">
        <v>2.847553</v>
      </c>
      <c r="F45">
        <v>2.7106659999999998</v>
      </c>
      <c r="G45">
        <v>3.2680000000000001E-3</v>
      </c>
      <c r="H45">
        <v>3.2439999999999999E-3</v>
      </c>
    </row>
    <row r="46" spans="3:8" x14ac:dyDescent="0.2">
      <c r="C46" t="s">
        <v>17</v>
      </c>
      <c r="D46">
        <v>1153.8013000000001</v>
      </c>
      <c r="E46">
        <v>8.3639670000000006</v>
      </c>
      <c r="F46">
        <v>8.1051269999999995</v>
      </c>
      <c r="G46">
        <v>5.8690000000000001E-3</v>
      </c>
      <c r="H46">
        <v>5.0169999999999998E-3</v>
      </c>
    </row>
    <row r="47" spans="3:8" x14ac:dyDescent="0.2">
      <c r="C47" t="s">
        <v>18</v>
      </c>
      <c r="D47">
        <v>1491.075785</v>
      </c>
      <c r="E47">
        <v>8.084911</v>
      </c>
      <c r="F47">
        <v>7.7916949999999998</v>
      </c>
      <c r="G47">
        <v>8.6660000000000001E-3</v>
      </c>
      <c r="H47">
        <v>5.1679999999999999E-3</v>
      </c>
    </row>
    <row r="48" spans="3:8" x14ac:dyDescent="0.2">
      <c r="C48" t="s">
        <v>19</v>
      </c>
      <c r="D48">
        <v>725.067454</v>
      </c>
      <c r="E48">
        <v>6.5046759999999999</v>
      </c>
      <c r="F48">
        <v>6.1186790000000002</v>
      </c>
      <c r="G48">
        <v>4.6629999999999996E-3</v>
      </c>
      <c r="H48">
        <v>4.6369999999999996E-3</v>
      </c>
    </row>
    <row r="49" spans="2:14" x14ac:dyDescent="0.2">
      <c r="C49" t="s">
        <v>20</v>
      </c>
      <c r="D49">
        <v>235.688863</v>
      </c>
      <c r="E49">
        <v>2.3515830000000002</v>
      </c>
      <c r="F49">
        <v>2.4062640000000002</v>
      </c>
      <c r="G49">
        <v>3.9280000000000001E-3</v>
      </c>
      <c r="H49">
        <v>3.9280000000000001E-3</v>
      </c>
    </row>
    <row r="50" spans="2:14" x14ac:dyDescent="0.2">
      <c r="C50" t="s">
        <v>21</v>
      </c>
      <c r="D50">
        <v>260.676963</v>
      </c>
      <c r="E50">
        <v>2.7475860000000001</v>
      </c>
      <c r="F50">
        <v>2.7128580000000002</v>
      </c>
      <c r="G50">
        <v>3.2429999999999998E-3</v>
      </c>
      <c r="H50">
        <v>3.241E-3</v>
      </c>
    </row>
    <row r="51" spans="2:14" x14ac:dyDescent="0.2">
      <c r="C51" t="s">
        <v>22</v>
      </c>
      <c r="D51">
        <v>138.50842299999999</v>
      </c>
      <c r="E51">
        <v>2.2745320000000002</v>
      </c>
      <c r="F51">
        <v>2.2841469999999999</v>
      </c>
      <c r="G51">
        <v>2.5400000000000002E-3</v>
      </c>
      <c r="H51">
        <v>2.5400000000000002E-3</v>
      </c>
    </row>
    <row r="52" spans="2:14" x14ac:dyDescent="0.2">
      <c r="C52" t="s">
        <v>23</v>
      </c>
      <c r="D52">
        <v>171.383264</v>
      </c>
      <c r="E52">
        <v>1.0548029999999999</v>
      </c>
      <c r="F52">
        <v>1.088986</v>
      </c>
      <c r="G52">
        <v>9.2800000000000001E-4</v>
      </c>
      <c r="H52">
        <v>9.2800000000000001E-4</v>
      </c>
    </row>
    <row r="54" spans="2:14" x14ac:dyDescent="0.2">
      <c r="B54" t="s">
        <v>30</v>
      </c>
      <c r="C54" t="s">
        <v>27</v>
      </c>
      <c r="D54" t="s">
        <v>26</v>
      </c>
      <c r="E54" t="s">
        <v>24</v>
      </c>
      <c r="F54" t="s">
        <v>25</v>
      </c>
      <c r="G54">
        <v>32</v>
      </c>
      <c r="H54">
        <v>64</v>
      </c>
      <c r="I54" t="s">
        <v>33</v>
      </c>
      <c r="J54" t="s">
        <v>34</v>
      </c>
      <c r="K54" t="s">
        <v>35</v>
      </c>
      <c r="L54" t="s">
        <v>36</v>
      </c>
      <c r="M54" t="s">
        <v>37</v>
      </c>
      <c r="N54" t="s">
        <v>38</v>
      </c>
    </row>
    <row r="55" spans="2:14" x14ac:dyDescent="0.2">
      <c r="C55" t="s">
        <v>0</v>
      </c>
      <c r="D55">
        <v>10769.782437</v>
      </c>
      <c r="E55">
        <v>77.405591999999999</v>
      </c>
      <c r="F55">
        <v>36.488571</v>
      </c>
      <c r="G55">
        <v>3.3460999999999998E-2</v>
      </c>
      <c r="H55">
        <v>1.4517E-2</v>
      </c>
    </row>
    <row r="56" spans="2:14" x14ac:dyDescent="0.2">
      <c r="C56" t="s">
        <v>1</v>
      </c>
      <c r="D56">
        <v>17575.556282000001</v>
      </c>
      <c r="E56">
        <v>133.69418400000001</v>
      </c>
      <c r="F56">
        <v>73.315505999999999</v>
      </c>
      <c r="G56">
        <v>6.7594000000000001E-2</v>
      </c>
      <c r="H56">
        <v>5.2191000000000001E-2</v>
      </c>
    </row>
    <row r="57" spans="2:14" x14ac:dyDescent="0.2">
      <c r="C57" t="s">
        <v>2</v>
      </c>
      <c r="D57">
        <v>1089.06375</v>
      </c>
      <c r="E57">
        <v>12.01676</v>
      </c>
      <c r="F57">
        <v>12.168908</v>
      </c>
      <c r="G57">
        <v>5.4050000000000001E-3</v>
      </c>
      <c r="H57">
        <v>3.045E-3</v>
      </c>
    </row>
    <row r="58" spans="2:14" x14ac:dyDescent="0.2">
      <c r="C58" t="s">
        <v>3</v>
      </c>
      <c r="D58">
        <v>2640.370774</v>
      </c>
      <c r="E58">
        <v>10.39373</v>
      </c>
      <c r="F58">
        <v>8.4104600000000005</v>
      </c>
      <c r="G58">
        <v>4.4166999999999998E-2</v>
      </c>
      <c r="H58">
        <v>4.4166999999999998E-2</v>
      </c>
    </row>
    <row r="59" spans="2:14" x14ac:dyDescent="0.2">
      <c r="C59" t="s">
        <v>4</v>
      </c>
      <c r="D59">
        <v>289.70998700000001</v>
      </c>
      <c r="E59">
        <v>2.9185569999999998</v>
      </c>
      <c r="F59">
        <v>2.9014090000000001</v>
      </c>
      <c r="G59">
        <v>2.251E-3</v>
      </c>
      <c r="H59">
        <v>1.5410000000000001E-3</v>
      </c>
    </row>
    <row r="60" spans="2:14" x14ac:dyDescent="0.2">
      <c r="C60" t="s">
        <v>5</v>
      </c>
      <c r="D60">
        <v>385.29597999999999</v>
      </c>
      <c r="E60">
        <v>8.5419140000000002</v>
      </c>
      <c r="F60">
        <v>9.2078889999999998</v>
      </c>
      <c r="G60">
        <v>2.9239999999999999E-3</v>
      </c>
      <c r="H60">
        <v>1.9659999999999999E-3</v>
      </c>
    </row>
    <row r="61" spans="2:14" x14ac:dyDescent="0.2">
      <c r="C61" t="s">
        <v>6</v>
      </c>
      <c r="D61">
        <v>68.531605999999996</v>
      </c>
      <c r="E61">
        <v>3.1121750000000001</v>
      </c>
      <c r="F61">
        <v>3.0282909999999998</v>
      </c>
      <c r="G61">
        <v>9.3400000000000004E-4</v>
      </c>
      <c r="H61">
        <v>9.2000000000000003E-4</v>
      </c>
    </row>
    <row r="62" spans="2:14" x14ac:dyDescent="0.2">
      <c r="C62" t="s">
        <v>7</v>
      </c>
      <c r="D62">
        <v>16.392329</v>
      </c>
      <c r="E62">
        <v>1.048457</v>
      </c>
      <c r="F62">
        <v>1.063034</v>
      </c>
      <c r="G62">
        <v>3.3300000000000002E-4</v>
      </c>
      <c r="H62">
        <v>3.3300000000000002E-4</v>
      </c>
    </row>
    <row r="63" spans="2:14" x14ac:dyDescent="0.2">
      <c r="C63" t="s">
        <v>8</v>
      </c>
      <c r="D63">
        <v>166639.23224499999</v>
      </c>
      <c r="E63">
        <v>80.486310000000003</v>
      </c>
      <c r="F63">
        <v>17.881045</v>
      </c>
      <c r="G63">
        <v>7.0073999999999997E-2</v>
      </c>
      <c r="H63">
        <v>4.734E-2</v>
      </c>
    </row>
    <row r="64" spans="2:14" x14ac:dyDescent="0.2">
      <c r="C64" t="s">
        <v>9</v>
      </c>
      <c r="D64">
        <v>490.52297099999998</v>
      </c>
      <c r="E64">
        <v>11.068034000000001</v>
      </c>
      <c r="F64">
        <v>11.262354</v>
      </c>
      <c r="G64">
        <v>3.346E-3</v>
      </c>
      <c r="H64">
        <v>1.9269999999999999E-3</v>
      </c>
    </row>
    <row r="65" spans="3:8" x14ac:dyDescent="0.2">
      <c r="C65" t="s">
        <v>10</v>
      </c>
      <c r="D65">
        <v>18051.209461999999</v>
      </c>
      <c r="E65">
        <v>9.8642240000000001</v>
      </c>
      <c r="F65">
        <v>9.5767500000000005</v>
      </c>
      <c r="G65">
        <v>4.4599E-2</v>
      </c>
      <c r="H65">
        <v>4.4304000000000003E-2</v>
      </c>
    </row>
    <row r="66" spans="3:8" x14ac:dyDescent="0.2">
      <c r="C66" t="s">
        <v>11</v>
      </c>
      <c r="D66">
        <v>9739.6873030000006</v>
      </c>
      <c r="E66">
        <v>11.582122999999999</v>
      </c>
      <c r="F66">
        <v>9.4983260000000005</v>
      </c>
      <c r="G66">
        <v>4.4235999999999998E-2</v>
      </c>
      <c r="H66">
        <v>4.4174999999999999E-2</v>
      </c>
    </row>
    <row r="67" spans="3:8" x14ac:dyDescent="0.2">
      <c r="C67" t="s">
        <v>12</v>
      </c>
      <c r="D67">
        <v>29851.229642999999</v>
      </c>
      <c r="E67">
        <v>23.766563999999999</v>
      </c>
      <c r="F67">
        <v>17.528683999999998</v>
      </c>
      <c r="G67">
        <v>9.5189999999999997E-3</v>
      </c>
      <c r="H67">
        <v>4.0499999999999998E-3</v>
      </c>
    </row>
    <row r="68" spans="3:8" x14ac:dyDescent="0.2">
      <c r="C68" t="s">
        <v>13</v>
      </c>
      <c r="D68">
        <v>232.381146</v>
      </c>
      <c r="E68">
        <v>3.038678</v>
      </c>
      <c r="F68">
        <v>2.9995799999999999</v>
      </c>
      <c r="G68">
        <v>1.421E-3</v>
      </c>
      <c r="H68">
        <v>1.4109999999999999E-3</v>
      </c>
    </row>
    <row r="69" spans="3:8" x14ac:dyDescent="0.2">
      <c r="C69" t="s">
        <v>14</v>
      </c>
      <c r="D69">
        <v>125.153614</v>
      </c>
      <c r="E69">
        <v>2.4528189999999999</v>
      </c>
      <c r="F69">
        <v>2.4228339999999999</v>
      </c>
      <c r="G69">
        <v>9.1200000000000005E-4</v>
      </c>
      <c r="H69">
        <v>9.1200000000000005E-4</v>
      </c>
    </row>
    <row r="70" spans="3:8" x14ac:dyDescent="0.2">
      <c r="C70" t="s">
        <v>15</v>
      </c>
      <c r="D70">
        <v>27.119147000000002</v>
      </c>
      <c r="E70">
        <v>1.0617239999999999</v>
      </c>
      <c r="F70">
        <v>1.064249</v>
      </c>
      <c r="G70">
        <v>3.3300000000000002E-4</v>
      </c>
      <c r="H70">
        <v>3.3300000000000002E-4</v>
      </c>
    </row>
    <row r="71" spans="3:8" x14ac:dyDescent="0.2">
      <c r="C71" t="s">
        <v>16</v>
      </c>
      <c r="D71">
        <v>410.39421900000002</v>
      </c>
      <c r="E71">
        <v>3.0896650000000001</v>
      </c>
      <c r="F71">
        <v>3.0034160000000001</v>
      </c>
      <c r="G71">
        <v>1.176E-3</v>
      </c>
      <c r="H71">
        <v>1.165E-3</v>
      </c>
    </row>
    <row r="72" spans="3:8" x14ac:dyDescent="0.2">
      <c r="C72" t="s">
        <v>17</v>
      </c>
      <c r="D72">
        <v>1836.878297</v>
      </c>
      <c r="E72">
        <v>9.2245519999999992</v>
      </c>
      <c r="F72">
        <v>8.6381350000000001</v>
      </c>
      <c r="G72">
        <v>2.147E-3</v>
      </c>
      <c r="H72">
        <v>1.81E-3</v>
      </c>
    </row>
    <row r="73" spans="3:8" x14ac:dyDescent="0.2">
      <c r="C73" t="s">
        <v>18</v>
      </c>
      <c r="D73">
        <v>2134.8324459999999</v>
      </c>
      <c r="E73">
        <v>9.881831</v>
      </c>
      <c r="F73">
        <v>8.6361709999999992</v>
      </c>
      <c r="G73">
        <v>3.274E-3</v>
      </c>
      <c r="H73">
        <v>1.918E-3</v>
      </c>
    </row>
    <row r="74" spans="3:8" x14ac:dyDescent="0.2">
      <c r="C74" t="s">
        <v>19</v>
      </c>
      <c r="D74">
        <v>1131.2308250000001</v>
      </c>
      <c r="E74">
        <v>7.5003440000000001</v>
      </c>
      <c r="F74">
        <v>6.4621969999999997</v>
      </c>
      <c r="G74">
        <v>1.67E-3</v>
      </c>
      <c r="H74">
        <v>1.6590000000000001E-3</v>
      </c>
    </row>
    <row r="75" spans="3:8" x14ac:dyDescent="0.2">
      <c r="C75" t="s">
        <v>20</v>
      </c>
      <c r="D75">
        <v>303.055746</v>
      </c>
      <c r="E75">
        <v>2.434272</v>
      </c>
      <c r="F75">
        <v>2.4123420000000002</v>
      </c>
      <c r="G75">
        <v>1.41E-3</v>
      </c>
      <c r="H75">
        <v>1.41E-3</v>
      </c>
    </row>
    <row r="76" spans="3:8" x14ac:dyDescent="0.2">
      <c r="C76" t="s">
        <v>21</v>
      </c>
      <c r="D76">
        <v>395.136099</v>
      </c>
      <c r="E76">
        <v>3.0333839999999999</v>
      </c>
      <c r="F76">
        <v>3.0088309999999998</v>
      </c>
      <c r="G76">
        <v>1.165E-3</v>
      </c>
      <c r="H76">
        <v>1.1640000000000001E-3</v>
      </c>
    </row>
    <row r="77" spans="3:8" x14ac:dyDescent="0.2">
      <c r="C77" t="s">
        <v>22</v>
      </c>
      <c r="D77">
        <v>183.89649499999999</v>
      </c>
      <c r="E77">
        <v>2.388684</v>
      </c>
      <c r="F77">
        <v>2.3746489999999998</v>
      </c>
      <c r="G77">
        <v>9.1200000000000005E-4</v>
      </c>
      <c r="H77">
        <v>9.1200000000000005E-4</v>
      </c>
    </row>
    <row r="78" spans="3:8" x14ac:dyDescent="0.2">
      <c r="C78" t="s">
        <v>23</v>
      </c>
      <c r="D78">
        <v>41.737993000000003</v>
      </c>
      <c r="E78">
        <v>1.056821</v>
      </c>
      <c r="F78">
        <v>1.057032</v>
      </c>
      <c r="G78">
        <v>3.3300000000000002E-4</v>
      </c>
      <c r="H78">
        <v>3.3300000000000002E-4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2048</vt:lpstr>
      <vt:lpstr>4096</vt:lpstr>
      <vt:lpstr>8192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2023-03-31T00:08:47Z</dcterms:created>
  <dcterms:modified xsi:type="dcterms:W3CDTF">2023-03-31T01:28:43Z</dcterms:modified>
</cp:coreProperties>
</file>