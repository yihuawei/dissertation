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8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9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0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1.xml" ContentType="application/vnd.openxmlformats-officedocument.themeOverride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Experiment数据/"/>
    </mc:Choice>
  </mc:AlternateContent>
  <xr:revisionPtr revIDLastSave="0" documentId="13_ncr:1_{23B0A888-71F6-3B42-9D80-4C94283CBFD5}" xr6:coauthVersionLast="47" xr6:coauthVersionMax="47" xr10:uidLastSave="{00000000-0000-0000-0000-000000000000}"/>
  <bookViews>
    <workbookView xWindow="140" yWindow="2960" windowWidth="28660" windowHeight="15940" activeTab="7" xr2:uid="{8504DDC8-B1BF-C143-94BE-5E1FB728AB15}"/>
  </bookViews>
  <sheets>
    <sheet name="SampligRatio" sheetId="6" r:id="rId1"/>
    <sheet name="KHopsNeighbor" sheetId="7" r:id="rId2"/>
    <sheet name="多GPU" sheetId="8" r:id="rId3"/>
    <sheet name="Orkut" sheetId="9" r:id="rId4"/>
    <sheet name="Friendster" sheetId="1" r:id="rId5"/>
    <sheet name="SF3K" sheetId="3" r:id="rId6"/>
    <sheet name="SF10k" sheetId="4" r:id="rId7"/>
    <sheet name="Graph500-28" sheetId="5" r:id="rId8"/>
    <sheet name="Twitter-mpi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R21" i="1"/>
  <c r="R22" i="1"/>
  <c r="R23" i="1"/>
  <c r="R24" i="1"/>
  <c r="R19" i="1"/>
  <c r="S12" i="3"/>
  <c r="S13" i="3"/>
  <c r="S14" i="3"/>
  <c r="S15" i="3"/>
  <c r="S16" i="3"/>
  <c r="S17" i="3"/>
  <c r="S11" i="3"/>
  <c r="P11" i="2"/>
  <c r="P12" i="2"/>
  <c r="P13" i="2"/>
  <c r="P14" i="2"/>
  <c r="P15" i="2"/>
  <c r="P16" i="2"/>
  <c r="P17" i="2"/>
  <c r="P10" i="2"/>
  <c r="O11" i="2"/>
  <c r="O12" i="2"/>
  <c r="O13" i="2"/>
  <c r="O14" i="2"/>
  <c r="O15" i="2"/>
  <c r="O16" i="2"/>
  <c r="O17" i="2"/>
  <c r="O18" i="2"/>
  <c r="O19" i="2"/>
  <c r="O10" i="2"/>
  <c r="R11" i="5"/>
  <c r="R12" i="5"/>
  <c r="R13" i="5"/>
  <c r="R14" i="5"/>
  <c r="R15" i="5"/>
  <c r="R16" i="5"/>
  <c r="R17" i="5"/>
  <c r="R18" i="5"/>
  <c r="R19" i="5"/>
  <c r="R20" i="5"/>
  <c r="R10" i="5"/>
  <c r="P13" i="4"/>
  <c r="P14" i="4"/>
  <c r="P15" i="4"/>
  <c r="P16" i="4"/>
  <c r="P17" i="4"/>
  <c r="P18" i="4"/>
  <c r="P19" i="4"/>
  <c r="P20" i="4"/>
  <c r="P12" i="4"/>
  <c r="R12" i="3"/>
  <c r="R13" i="3"/>
  <c r="R14" i="3"/>
  <c r="R15" i="3"/>
  <c r="R16" i="3"/>
  <c r="R17" i="3"/>
  <c r="R18" i="3"/>
  <c r="R11" i="3"/>
  <c r="Q20" i="1"/>
  <c r="Q21" i="1"/>
  <c r="Q22" i="1"/>
  <c r="Q23" i="1"/>
  <c r="Q24" i="1"/>
  <c r="Q25" i="1"/>
  <c r="Q19" i="1"/>
  <c r="S8" i="4"/>
  <c r="R8" i="4"/>
  <c r="Q8" i="4"/>
  <c r="P8" i="4"/>
  <c r="U8" i="3"/>
  <c r="T8" i="3"/>
  <c r="S8" i="3"/>
  <c r="R8" i="3"/>
  <c r="Q8" i="1"/>
  <c r="R8" i="1"/>
  <c r="T8" i="1"/>
  <c r="S8" i="1"/>
  <c r="B12" i="8"/>
  <c r="C12" i="8"/>
  <c r="D12" i="8"/>
  <c r="E12" i="8"/>
  <c r="F12" i="8"/>
  <c r="B13" i="8"/>
  <c r="C13" i="8"/>
  <c r="D13" i="8"/>
  <c r="E13" i="8"/>
  <c r="F13" i="8"/>
  <c r="B14" i="8"/>
  <c r="C14" i="8"/>
  <c r="D14" i="8"/>
  <c r="E14" i="8"/>
  <c r="F14" i="8"/>
  <c r="B15" i="8"/>
  <c r="C15" i="8"/>
  <c r="D15" i="8"/>
  <c r="E15" i="8"/>
  <c r="F15" i="8"/>
  <c r="B16" i="8"/>
  <c r="C16" i="8"/>
  <c r="D16" i="8"/>
  <c r="E16" i="8"/>
  <c r="F16" i="8"/>
  <c r="C11" i="8"/>
  <c r="D11" i="8"/>
  <c r="E11" i="8"/>
  <c r="F11" i="8"/>
  <c r="B11" i="8"/>
  <c r="B8" i="8"/>
  <c r="C8" i="8"/>
  <c r="D8" i="8"/>
  <c r="E8" i="8"/>
  <c r="F8" i="8"/>
  <c r="F7" i="8"/>
  <c r="F6" i="8"/>
  <c r="F5" i="8"/>
  <c r="F4" i="8"/>
  <c r="F3" i="8"/>
  <c r="E7" i="8"/>
  <c r="E6" i="8"/>
  <c r="E5" i="8"/>
  <c r="E4" i="8"/>
  <c r="E3" i="8"/>
  <c r="D7" i="8"/>
  <c r="D6" i="8"/>
  <c r="D5" i="8"/>
  <c r="D4" i="8"/>
  <c r="D3" i="8"/>
  <c r="C7" i="8"/>
  <c r="C6" i="8"/>
  <c r="C5" i="8"/>
  <c r="C4" i="8"/>
  <c r="C3" i="8"/>
  <c r="B4" i="8"/>
  <c r="B5" i="8"/>
  <c r="B6" i="8"/>
  <c r="B7" i="8"/>
  <c r="B3" i="8"/>
  <c r="L20" i="6"/>
  <c r="M20" i="6"/>
  <c r="L21" i="6"/>
  <c r="M21" i="6"/>
  <c r="L22" i="6"/>
  <c r="M22" i="6"/>
  <c r="L23" i="6"/>
  <c r="M23" i="6"/>
  <c r="L24" i="6"/>
  <c r="M24" i="6"/>
  <c r="L25" i="6"/>
  <c r="M25" i="6"/>
  <c r="J20" i="6"/>
  <c r="K20" i="6"/>
  <c r="J21" i="6"/>
  <c r="K21" i="6"/>
  <c r="J22" i="6"/>
  <c r="K22" i="6"/>
  <c r="J23" i="6"/>
  <c r="K23" i="6"/>
  <c r="J24" i="6"/>
  <c r="K24" i="6"/>
  <c r="J25" i="6"/>
  <c r="K25" i="6"/>
  <c r="I21" i="6"/>
  <c r="I22" i="6"/>
  <c r="I23" i="6"/>
  <c r="I24" i="6"/>
  <c r="I25" i="6"/>
  <c r="I20" i="6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3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K2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</calcChain>
</file>

<file path=xl/sharedStrings.xml><?xml version="1.0" encoding="utf-8"?>
<sst xmlns="http://schemas.openxmlformats.org/spreadsheetml/2006/main" count="433" uniqueCount="74">
  <si>
    <t>P1</t>
  </si>
  <si>
    <t>P2</t>
  </si>
  <si>
    <t>P3</t>
  </si>
  <si>
    <t>P4</t>
  </si>
  <si>
    <t>P5</t>
  </si>
  <si>
    <t>P6</t>
  </si>
  <si>
    <t>CPU</t>
  </si>
  <si>
    <t>Unified Memory</t>
  </si>
  <si>
    <t>Zero Copy</t>
  </si>
  <si>
    <t>32 Ours</t>
  </si>
  <si>
    <t>64 Ours</t>
  </si>
  <si>
    <t>com-friendster</t>
  </si>
  <si>
    <t xml:space="preserve">    com-friendster</t>
  </si>
  <si>
    <t xml:space="preserve">    twitter\_mpi</t>
  </si>
  <si>
    <t xml:space="preserve">    datagen-sf3k-fb</t>
  </si>
  <si>
    <t xml:space="preserve">    graph500-28</t>
  </si>
  <si>
    <t xml:space="preserve">    datagen-sf10k-fb</t>
  </si>
  <si>
    <t>1Hops</t>
  </si>
  <si>
    <t>2Hops</t>
  </si>
  <si>
    <t>3Hops</t>
  </si>
  <si>
    <t>4Hops</t>
  </si>
  <si>
    <t>5Hops</t>
  </si>
  <si>
    <t>6Hops</t>
  </si>
  <si>
    <t>5_12.txt</t>
  </si>
  <si>
    <t>5_14.txt</t>
  </si>
  <si>
    <t>5_15.txt</t>
  </si>
  <si>
    <t>5_16.txt</t>
  </si>
  <si>
    <t>5_17.txt</t>
  </si>
  <si>
    <t>5_18.txt</t>
  </si>
  <si>
    <t>5_19.txt</t>
  </si>
  <si>
    <t>5_20.txt</t>
  </si>
  <si>
    <t>6_28.txt</t>
  </si>
  <si>
    <t>6_47.txt</t>
  </si>
  <si>
    <t>6_50.txt</t>
  </si>
  <si>
    <t>6_53.txt</t>
  </si>
  <si>
    <t>6_62.txt</t>
  </si>
  <si>
    <t>6_107.txt</t>
  </si>
  <si>
    <t>6_110.txt</t>
  </si>
  <si>
    <t>6_111.txt</t>
  </si>
  <si>
    <t>7_830.txt</t>
  </si>
  <si>
    <t>7_845.txt</t>
  </si>
  <si>
    <t>7_846.txt</t>
  </si>
  <si>
    <t>7_847.txt</t>
  </si>
  <si>
    <t>7_848.txt</t>
  </si>
  <si>
    <t>7_850.txt</t>
  </si>
  <si>
    <t>7_851.txt</t>
  </si>
  <si>
    <t>7_852.txt</t>
  </si>
  <si>
    <t>UM</t>
  </si>
  <si>
    <t>ZeroCopy</t>
  </si>
  <si>
    <t>1/64</t>
  </si>
  <si>
    <t>1/32</t>
  </si>
  <si>
    <t>p7</t>
  </si>
  <si>
    <t>p4</t>
  </si>
  <si>
    <t>p6</t>
  </si>
  <si>
    <t>p8</t>
  </si>
  <si>
    <t>p9</t>
  </si>
  <si>
    <t>Global Mem</t>
  </si>
  <si>
    <t>p2</t>
  </si>
  <si>
    <t xml:space="preserve">    twitter_mpi</t>
  </si>
  <si>
    <t>graph500-28</t>
  </si>
  <si>
    <t>twitter_mpi</t>
  </si>
  <si>
    <t>One-Hops</t>
  </si>
  <si>
    <t>Two-Hops</t>
  </si>
  <si>
    <t>sf3k-fb</t>
  </si>
  <si>
    <t>sf10k-fb</t>
  </si>
  <si>
    <t>5_12</t>
  </si>
  <si>
    <t>5_15</t>
  </si>
  <si>
    <t>6_50</t>
  </si>
  <si>
    <t>6_62</t>
  </si>
  <si>
    <t>7_846</t>
  </si>
  <si>
    <t>7_851</t>
  </si>
  <si>
    <t>5_14</t>
  </si>
  <si>
    <t>6_47</t>
  </si>
  <si>
    <t>7_852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</si>
</sst>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2"/>
      <color rgb="FF2FFF12"/>
      <name val="Andale Mono"/>
      <family val="2"/>
    </font>
    <font>
      <sz val="8"/>
      <name val="Calibri"/>
      <family val="2"/>
      <scheme val="minor"/>
    </font>
    <font>
      <sz val="10"/>
      <color rgb="FF569CD6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9.xml"/><Relationship Id="rId1" Type="http://schemas.microsoft.com/office/2011/relationships/chartStyle" Target="style9.xml"/><Relationship Id="rId4" Type="http://schemas.openxmlformats.org/officeDocument/2006/relationships/chartUserShapes" Target="../drawings/drawing7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0.xml"/><Relationship Id="rId1" Type="http://schemas.microsoft.com/office/2011/relationships/chartStyle" Target="style10.xml"/><Relationship Id="rId4" Type="http://schemas.openxmlformats.org/officeDocument/2006/relationships/chartUserShapes" Target="../drawings/drawing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1.xml"/><Relationship Id="rId1" Type="http://schemas.microsoft.com/office/2011/relationships/chartStyle" Target="style11.xml"/><Relationship Id="rId4" Type="http://schemas.openxmlformats.org/officeDocument/2006/relationships/chartUserShapes" Target="../drawings/drawing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2.xml"/><Relationship Id="rId1" Type="http://schemas.microsoft.com/office/2011/relationships/chartStyle" Target="style12.xml"/><Relationship Id="rId4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0.21855774278215226"/>
          <c:w val="0.83656696558763488"/>
          <c:h val="0.60223840769903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SampligRatio!$A$20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SampligRatio!$B$19:$F$19</c:f>
              <c:strCache>
                <c:ptCount val="5"/>
                <c:pt idx="0">
                  <c:v>    com-friendster</c:v>
                </c:pt>
                <c:pt idx="1">
                  <c:v>    twitter_mpi</c:v>
                </c:pt>
                <c:pt idx="2">
                  <c:v>sf3k-fb</c:v>
                </c:pt>
                <c:pt idx="3">
                  <c:v>    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SampligRatio!$B$20:$F$20</c:f>
              <c:numCache>
                <c:formatCode>General</c:formatCode>
                <c:ptCount val="5"/>
                <c:pt idx="0">
                  <c:v>2.8579999999999999E-3</c:v>
                </c:pt>
                <c:pt idx="1">
                  <c:v>1.7950000000000001E-2</c:v>
                </c:pt>
                <c:pt idx="2">
                  <c:v>7.6540000000000002E-3</c:v>
                </c:pt>
                <c:pt idx="3">
                  <c:v>2.7949999999999999E-2</c:v>
                </c:pt>
                <c:pt idx="4">
                  <c:v>3.6640000000000002E-3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SampligRatio!$A$21</c:f>
              <c:strCache>
                <c:ptCount val="1"/>
                <c:pt idx="0">
                  <c:v>P2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SampligRatio!$B$19:$F$19</c:f>
              <c:strCache>
                <c:ptCount val="5"/>
                <c:pt idx="0">
                  <c:v>    com-friendster</c:v>
                </c:pt>
                <c:pt idx="1">
                  <c:v>    twitter_mpi</c:v>
                </c:pt>
                <c:pt idx="2">
                  <c:v>sf3k-fb</c:v>
                </c:pt>
                <c:pt idx="3">
                  <c:v>    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SampligRatio!$B$21:$F$21</c:f>
              <c:numCache>
                <c:formatCode>General</c:formatCode>
                <c:ptCount val="5"/>
                <c:pt idx="0">
                  <c:v>7.8609999999999999E-3</c:v>
                </c:pt>
                <c:pt idx="1">
                  <c:v>4.5305999999999999E-2</c:v>
                </c:pt>
                <c:pt idx="2">
                  <c:v>2.1496000000000001E-2</c:v>
                </c:pt>
                <c:pt idx="3">
                  <c:v>3.5305999999999997E-2</c:v>
                </c:pt>
                <c:pt idx="4">
                  <c:v>1.3351E-2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SampligRatio!$A$22</c:f>
              <c:strCache>
                <c:ptCount val="1"/>
                <c:pt idx="0">
                  <c:v>P3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SampligRatio!$B$19:$F$19</c:f>
              <c:strCache>
                <c:ptCount val="5"/>
                <c:pt idx="0">
                  <c:v>    com-friendster</c:v>
                </c:pt>
                <c:pt idx="1">
                  <c:v>    twitter_mpi</c:v>
                </c:pt>
                <c:pt idx="2">
                  <c:v>sf3k-fb</c:v>
                </c:pt>
                <c:pt idx="3">
                  <c:v>    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SampligRatio!$B$22:$F$22</c:f>
              <c:numCache>
                <c:formatCode>General</c:formatCode>
                <c:ptCount val="5"/>
                <c:pt idx="0">
                  <c:v>6.5789999999999998E-3</c:v>
                </c:pt>
                <c:pt idx="1">
                  <c:v>1.3390000000000001E-2</c:v>
                </c:pt>
                <c:pt idx="2">
                  <c:v>9.5689999999999994E-3</c:v>
                </c:pt>
                <c:pt idx="3">
                  <c:v>2.3390000000000001E-2</c:v>
                </c:pt>
                <c:pt idx="4">
                  <c:v>1.1487000000000001E-2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SampligRatio!$A$23</c:f>
              <c:strCache>
                <c:ptCount val="1"/>
                <c:pt idx="0">
                  <c:v>P4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SampligRatio!$B$19:$F$19</c:f>
              <c:strCache>
                <c:ptCount val="5"/>
                <c:pt idx="0">
                  <c:v>    com-friendster</c:v>
                </c:pt>
                <c:pt idx="1">
                  <c:v>    twitter_mpi</c:v>
                </c:pt>
                <c:pt idx="2">
                  <c:v>sf3k-fb</c:v>
                </c:pt>
                <c:pt idx="3">
                  <c:v>    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SampligRatio!$B$23:$F$23</c:f>
              <c:numCache>
                <c:formatCode>General</c:formatCode>
                <c:ptCount val="5"/>
                <c:pt idx="0">
                  <c:v>5.5199999999999997E-4</c:v>
                </c:pt>
                <c:pt idx="1">
                  <c:v>2.7759999999999998E-3</c:v>
                </c:pt>
                <c:pt idx="2">
                  <c:v>9.4710000000000003E-3</c:v>
                </c:pt>
                <c:pt idx="3">
                  <c:v>1.776E-3</c:v>
                </c:pt>
                <c:pt idx="4">
                  <c:v>1.0369999999999999E-3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SampligRatio!$A$24</c:f>
              <c:strCache>
                <c:ptCount val="1"/>
                <c:pt idx="0">
                  <c:v>P5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SampligRatio!$B$19:$F$19</c:f>
              <c:strCache>
                <c:ptCount val="5"/>
                <c:pt idx="0">
                  <c:v>    com-friendster</c:v>
                </c:pt>
                <c:pt idx="1">
                  <c:v>    twitter_mpi</c:v>
                </c:pt>
                <c:pt idx="2">
                  <c:v>sf3k-fb</c:v>
                </c:pt>
                <c:pt idx="3">
                  <c:v>    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SampligRatio!$B$24:$F$24</c:f>
              <c:numCache>
                <c:formatCode>General</c:formatCode>
                <c:ptCount val="5"/>
                <c:pt idx="0">
                  <c:v>2.41E-4</c:v>
                </c:pt>
                <c:pt idx="1">
                  <c:v>3.4600000000000001E-4</c:v>
                </c:pt>
                <c:pt idx="2">
                  <c:v>7.6599999999999997E-4</c:v>
                </c:pt>
                <c:pt idx="3">
                  <c:v>1.46E-4</c:v>
                </c:pt>
                <c:pt idx="4">
                  <c:v>4.8799999999999999E-4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ser>
          <c:idx val="5"/>
          <c:order val="5"/>
          <c:tx>
            <c:strRef>
              <c:f>SampligRatio!$A$25</c:f>
              <c:strCache>
                <c:ptCount val="1"/>
                <c:pt idx="0">
                  <c:v>P6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SampligRatio!$B$19:$F$19</c:f>
              <c:strCache>
                <c:ptCount val="5"/>
                <c:pt idx="0">
                  <c:v>    com-friendster</c:v>
                </c:pt>
                <c:pt idx="1">
                  <c:v>    twitter_mpi</c:v>
                </c:pt>
                <c:pt idx="2">
                  <c:v>sf3k-fb</c:v>
                </c:pt>
                <c:pt idx="3">
                  <c:v>    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SampligRatio!$B$25:$F$25</c:f>
              <c:numCache>
                <c:formatCode>General</c:formatCode>
                <c:ptCount val="5"/>
                <c:pt idx="0">
                  <c:v>8.1000000000000004E-5</c:v>
                </c:pt>
                <c:pt idx="1">
                  <c:v>3.2499999999999999E-4</c:v>
                </c:pt>
                <c:pt idx="2">
                  <c:v>1.34E-4</c:v>
                </c:pt>
                <c:pt idx="3">
                  <c:v>1.25E-4</c:v>
                </c:pt>
                <c:pt idx="4">
                  <c:v>2.34E-4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F8-554D-B604-D48DA9BD6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5.000000000000001E-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layout>
            <c:manualLayout>
              <c:xMode val="edge"/>
              <c:yMode val="edge"/>
              <c:x val="0"/>
              <c:y val="0.39619604841061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SampligRatio!$B$1</c:f>
              <c:strCache>
                <c:ptCount val="1"/>
                <c:pt idx="0">
                  <c:v>    com-friendster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SampligRatio!$B$2:$B$7</c:f>
              <c:numCache>
                <c:formatCode>General</c:formatCode>
                <c:ptCount val="6"/>
                <c:pt idx="0">
                  <c:v>0.95195099999999999</c:v>
                </c:pt>
                <c:pt idx="1">
                  <c:v>0.90280800000000005</c:v>
                </c:pt>
                <c:pt idx="2">
                  <c:v>0.89422199999999996</c:v>
                </c:pt>
                <c:pt idx="3">
                  <c:v>0.99856100000000003</c:v>
                </c:pt>
                <c:pt idx="4">
                  <c:v>0.91041399999999995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SampligRatio!$C$1</c:f>
              <c:strCache>
                <c:ptCount val="1"/>
                <c:pt idx="0">
                  <c:v>    twitter_mpi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SampligRatio!$C$2:$C$7</c:f>
              <c:numCache>
                <c:formatCode>General</c:formatCode>
                <c:ptCount val="6"/>
                <c:pt idx="0">
                  <c:v>0.97958400000000001</c:v>
                </c:pt>
                <c:pt idx="1">
                  <c:v>0.92138200000000003</c:v>
                </c:pt>
                <c:pt idx="2">
                  <c:v>0.85493300000000005</c:v>
                </c:pt>
                <c:pt idx="3">
                  <c:v>0.76303100000000001</c:v>
                </c:pt>
                <c:pt idx="4">
                  <c:v>0.95035000000000003</c:v>
                </c:pt>
                <c:pt idx="5">
                  <c:v>0.95035000000000003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SampligRatio!$D$1</c:f>
              <c:strCache>
                <c:ptCount val="1"/>
                <c:pt idx="0">
                  <c:v>    datagen-sf3k-fb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SampligRatio!$D$2:$D$7</c:f>
              <c:numCache>
                <c:formatCode>General</c:formatCode>
                <c:ptCount val="6"/>
                <c:pt idx="0">
                  <c:v>0.90680400000000005</c:v>
                </c:pt>
                <c:pt idx="1">
                  <c:v>0.96277100000000004</c:v>
                </c:pt>
                <c:pt idx="2">
                  <c:v>0.64088299999999998</c:v>
                </c:pt>
                <c:pt idx="3">
                  <c:v>0.97504299999999999</c:v>
                </c:pt>
                <c:pt idx="4">
                  <c:v>0.96894800000000003</c:v>
                </c:pt>
                <c:pt idx="5">
                  <c:v>0.89034999999999997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SampligRatio!$E$1</c:f>
              <c:strCache>
                <c:ptCount val="1"/>
                <c:pt idx="0">
                  <c:v>    graph500-28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SampligRatio!$E$2:$E$7</c:f>
              <c:numCache>
                <c:formatCode>General</c:formatCode>
                <c:ptCount val="6"/>
                <c:pt idx="0">
                  <c:v>0.88459600000000005</c:v>
                </c:pt>
                <c:pt idx="1">
                  <c:v>0.91156700000000002</c:v>
                </c:pt>
                <c:pt idx="2">
                  <c:v>0.87326000000000004</c:v>
                </c:pt>
                <c:pt idx="3">
                  <c:v>1</c:v>
                </c:pt>
                <c:pt idx="4">
                  <c:v>0.82418000000000002</c:v>
                </c:pt>
                <c:pt idx="5">
                  <c:v>0.85313899999999998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SampligRatio!$F$1</c:f>
              <c:strCache>
                <c:ptCount val="1"/>
                <c:pt idx="0">
                  <c:v>    datagen-sf10k-fb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SampligRatio!$A$2:$A$7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SampligRatio!$F$2:$F$7</c:f>
              <c:numCache>
                <c:formatCode>General</c:formatCode>
                <c:ptCount val="6"/>
                <c:pt idx="0">
                  <c:v>0.91709797000000004</c:v>
                </c:pt>
                <c:pt idx="1">
                  <c:v>0.95277100000000003</c:v>
                </c:pt>
                <c:pt idx="2">
                  <c:v>0.69088300000000002</c:v>
                </c:pt>
                <c:pt idx="3">
                  <c:v>0.985043</c:v>
                </c:pt>
                <c:pt idx="4">
                  <c:v>0.928948</c:v>
                </c:pt>
                <c:pt idx="5">
                  <c:v>0.91034999999999999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SampligRatio!$B$10</c:f>
              <c:strCache>
                <c:ptCount val="1"/>
                <c:pt idx="0">
                  <c:v>    com-friendster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SampligRatio!$B$11:$B$16</c:f>
              <c:numCache>
                <c:formatCode>General</c:formatCode>
                <c:ptCount val="6"/>
                <c:pt idx="0">
                  <c:v>0.78764100000000004</c:v>
                </c:pt>
                <c:pt idx="1">
                  <c:v>0.664655</c:v>
                </c:pt>
                <c:pt idx="2">
                  <c:v>0.98155899999999996</c:v>
                </c:pt>
                <c:pt idx="3">
                  <c:v>0.638015</c:v>
                </c:pt>
                <c:pt idx="4">
                  <c:v>0.720974</c:v>
                </c:pt>
                <c:pt idx="5">
                  <c:v>0.96551399999999998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SampligRatio!$C$10</c:f>
              <c:strCache>
                <c:ptCount val="1"/>
                <c:pt idx="0">
                  <c:v>    twitter_mpi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SampligRatio!$C$11:$C$16</c:f>
              <c:numCache>
                <c:formatCode>General</c:formatCode>
                <c:ptCount val="6"/>
                <c:pt idx="0">
                  <c:v>0.87958400000000003</c:v>
                </c:pt>
                <c:pt idx="1">
                  <c:v>0.86138199999999998</c:v>
                </c:pt>
                <c:pt idx="2">
                  <c:v>0.75493299999999997</c:v>
                </c:pt>
                <c:pt idx="3">
                  <c:v>0.743031</c:v>
                </c:pt>
                <c:pt idx="4">
                  <c:v>0.95035000000000003</c:v>
                </c:pt>
                <c:pt idx="5">
                  <c:v>0.95035000000000003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SampligRatio!$D$10</c:f>
              <c:strCache>
                <c:ptCount val="1"/>
                <c:pt idx="0">
                  <c:v>    datagen-sf3k-fb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SampligRatio!$D$11:$D$16</c:f>
              <c:numCache>
                <c:formatCode>General</c:formatCode>
                <c:ptCount val="6"/>
                <c:pt idx="0">
                  <c:v>0.89680400000000005</c:v>
                </c:pt>
                <c:pt idx="1">
                  <c:v>0.96277100000000004</c:v>
                </c:pt>
                <c:pt idx="2">
                  <c:v>0.64088299999999998</c:v>
                </c:pt>
                <c:pt idx="3">
                  <c:v>0.93504299999999996</c:v>
                </c:pt>
                <c:pt idx="4">
                  <c:v>0.91894799999999999</c:v>
                </c:pt>
                <c:pt idx="5">
                  <c:v>0.87034999999999996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SampligRatio!$E$10</c:f>
              <c:strCache>
                <c:ptCount val="1"/>
                <c:pt idx="0">
                  <c:v>    graph500-28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SampligRatio!$E$11:$E$16</c:f>
              <c:numCache>
                <c:formatCode>General</c:formatCode>
                <c:ptCount val="6"/>
                <c:pt idx="0">
                  <c:v>0.85036619999999996</c:v>
                </c:pt>
                <c:pt idx="1">
                  <c:v>0.87598865000000004</c:v>
                </c:pt>
                <c:pt idx="2">
                  <c:v>0.82959700000000003</c:v>
                </c:pt>
                <c:pt idx="3">
                  <c:v>0.95</c:v>
                </c:pt>
                <c:pt idx="4">
                  <c:v>0.82418000000000002</c:v>
                </c:pt>
                <c:pt idx="5">
                  <c:v>0.85313899999999998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SampligRatio!$F$10</c:f>
              <c:strCache>
                <c:ptCount val="1"/>
                <c:pt idx="0">
                  <c:v>    datagen-sf10k-fb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SampligRatio!$F$11:$F$16</c:f>
              <c:numCache>
                <c:formatCode>General</c:formatCode>
                <c:ptCount val="6"/>
                <c:pt idx="0">
                  <c:v>0.90792699030000001</c:v>
                </c:pt>
                <c:pt idx="1">
                  <c:v>0.93324328999999995</c:v>
                </c:pt>
                <c:pt idx="2">
                  <c:v>0.67397417000000004</c:v>
                </c:pt>
                <c:pt idx="3">
                  <c:v>0.96519257000000003</c:v>
                </c:pt>
                <c:pt idx="4">
                  <c:v>0.91965852000000003</c:v>
                </c:pt>
                <c:pt idx="5">
                  <c:v>0.90124649999999995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SampligRatio!$A$38</c:f>
              <c:strCache>
                <c:ptCount val="1"/>
                <c:pt idx="0">
                  <c:v>One-Hops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SampligRatio!$B$37:$F$37</c:f>
              <c:strCache>
                <c:ptCount val="5"/>
                <c:pt idx="0">
                  <c:v>com-friendster</c:v>
                </c:pt>
                <c:pt idx="1">
                  <c:v>twitter_mpi</c:v>
                </c:pt>
                <c:pt idx="2">
                  <c:v>sf3k-fb</c:v>
                </c:pt>
                <c:pt idx="3">
                  <c:v>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SampligRatio!$B$38:$F$38</c:f>
              <c:numCache>
                <c:formatCode>General</c:formatCode>
                <c:ptCount val="5"/>
                <c:pt idx="0">
                  <c:v>0.17152300000000001</c:v>
                </c:pt>
                <c:pt idx="1">
                  <c:v>0.9</c:v>
                </c:pt>
                <c:pt idx="2">
                  <c:v>0.12932099999999999</c:v>
                </c:pt>
                <c:pt idx="3">
                  <c:v>0.87876100000000001</c:v>
                </c:pt>
                <c:pt idx="4">
                  <c:v>4.7824999999999999E-2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SampligRatio!$A$39</c:f>
              <c:strCache>
                <c:ptCount val="1"/>
                <c:pt idx="0">
                  <c:v>Two-Hops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SampligRatio!$B$37:$F$37</c:f>
              <c:strCache>
                <c:ptCount val="5"/>
                <c:pt idx="0">
                  <c:v>com-friendster</c:v>
                </c:pt>
                <c:pt idx="1">
                  <c:v>twitter_mpi</c:v>
                </c:pt>
                <c:pt idx="2">
                  <c:v>sf3k-fb</c:v>
                </c:pt>
                <c:pt idx="3">
                  <c:v>graph500-28</c:v>
                </c:pt>
                <c:pt idx="4">
                  <c:v>sf10k-fb</c:v>
                </c:pt>
              </c:strCache>
            </c:strRef>
          </c:cat>
          <c:val>
            <c:numRef>
              <c:f>SampligRatio!$B$39:$F$39</c:f>
              <c:numCache>
                <c:formatCode>General</c:formatCode>
                <c:ptCount val="5"/>
                <c:pt idx="0">
                  <c:v>0.92412399999999995</c:v>
                </c:pt>
                <c:pt idx="1">
                  <c:v>0.99999990000000005</c:v>
                </c:pt>
                <c:pt idx="2">
                  <c:v>0.99628300000000003</c:v>
                </c:pt>
                <c:pt idx="3">
                  <c:v>0.99999990000000005</c:v>
                </c:pt>
                <c:pt idx="4">
                  <c:v>0.96034600000000003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60740029892096825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多GPU!$B$2</c:f>
              <c:strCache>
                <c:ptCount val="1"/>
                <c:pt idx="0">
                  <c:v>    com-friendster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多GPU!$A$3:$A$8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多GPU!$B$3:$B$8</c:f>
              <c:numCache>
                <c:formatCode>General</c:formatCode>
                <c:ptCount val="6"/>
                <c:pt idx="0">
                  <c:v>1.85</c:v>
                </c:pt>
                <c:pt idx="1">
                  <c:v>1.99</c:v>
                </c:pt>
                <c:pt idx="2">
                  <c:v>1.99</c:v>
                </c:pt>
                <c:pt idx="3">
                  <c:v>1.8</c:v>
                </c:pt>
                <c:pt idx="4">
                  <c:v>1.72</c:v>
                </c:pt>
                <c:pt idx="5">
                  <c:v>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多GPU!$C$2</c:f>
              <c:strCache>
                <c:ptCount val="1"/>
                <c:pt idx="0">
                  <c:v>    twitter_mpi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多GPU!$A$3:$A$8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多GPU!$C$3:$C$8</c:f>
              <c:numCache>
                <c:formatCode>General</c:formatCode>
                <c:ptCount val="6"/>
                <c:pt idx="0">
                  <c:v>1.72</c:v>
                </c:pt>
                <c:pt idx="1">
                  <c:v>1.86</c:v>
                </c:pt>
                <c:pt idx="2">
                  <c:v>1.78</c:v>
                </c:pt>
                <c:pt idx="3">
                  <c:v>1.87</c:v>
                </c:pt>
                <c:pt idx="4">
                  <c:v>1.98</c:v>
                </c:pt>
                <c:pt idx="5">
                  <c:v>1.84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多GPU!$D$2</c:f>
              <c:strCache>
                <c:ptCount val="1"/>
                <c:pt idx="0">
                  <c:v>    datagen-sf3k-fb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多GPU!$A$3:$A$8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多GPU!$D$3:$D$8</c:f>
              <c:numCache>
                <c:formatCode>General</c:formatCode>
                <c:ptCount val="6"/>
                <c:pt idx="0">
                  <c:v>1.71</c:v>
                </c:pt>
                <c:pt idx="1">
                  <c:v>1.89</c:v>
                </c:pt>
                <c:pt idx="2">
                  <c:v>1.78</c:v>
                </c:pt>
                <c:pt idx="3">
                  <c:v>1.72</c:v>
                </c:pt>
                <c:pt idx="4">
                  <c:v>1.74</c:v>
                </c:pt>
                <c:pt idx="5">
                  <c:v>1.97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多GPU!$E$2</c:f>
              <c:strCache>
                <c:ptCount val="1"/>
                <c:pt idx="0">
                  <c:v>    graph500-28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多GPU!$A$3:$A$8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多GPU!$E$3:$E$8</c:f>
              <c:numCache>
                <c:formatCode>General</c:formatCode>
                <c:ptCount val="6"/>
                <c:pt idx="0">
                  <c:v>1.78</c:v>
                </c:pt>
                <c:pt idx="1">
                  <c:v>1.93</c:v>
                </c:pt>
                <c:pt idx="2">
                  <c:v>1.9</c:v>
                </c:pt>
                <c:pt idx="3">
                  <c:v>1.84</c:v>
                </c:pt>
                <c:pt idx="4">
                  <c:v>1.82</c:v>
                </c:pt>
                <c:pt idx="5">
                  <c:v>1.82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多GPU!$F$2</c:f>
              <c:strCache>
                <c:ptCount val="1"/>
                <c:pt idx="0">
                  <c:v>    datagen-sf10k-fb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多GPU!$A$3:$A$8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多GPU!$F$3:$F$8</c:f>
              <c:numCache>
                <c:formatCode>General</c:formatCode>
                <c:ptCount val="6"/>
                <c:pt idx="0">
                  <c:v>1.87</c:v>
                </c:pt>
                <c:pt idx="1">
                  <c:v>1.73</c:v>
                </c:pt>
                <c:pt idx="2">
                  <c:v>1.84</c:v>
                </c:pt>
                <c:pt idx="3">
                  <c:v>1.73</c:v>
                </c:pt>
                <c:pt idx="4">
                  <c:v>1.76</c:v>
                </c:pt>
                <c:pt idx="5">
                  <c:v>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Speedups</a:t>
                </a:r>
              </a:p>
            </c:rich>
          </c:tx>
          <c:layout>
            <c:manualLayout>
              <c:xMode val="edge"/>
              <c:yMode val="edge"/>
              <c:x val="0"/>
              <c:y val="0.39619604841061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60740029892096825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多GPU!$B$10</c:f>
              <c:strCache>
                <c:ptCount val="1"/>
                <c:pt idx="0">
                  <c:v>    com-friendster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多GPU!$B$11:$B$16</c:f>
              <c:numCache>
                <c:formatCode>General</c:formatCode>
                <c:ptCount val="6"/>
                <c:pt idx="0">
                  <c:v>3.75</c:v>
                </c:pt>
                <c:pt idx="1">
                  <c:v>3.8</c:v>
                </c:pt>
                <c:pt idx="2">
                  <c:v>3.74</c:v>
                </c:pt>
                <c:pt idx="3">
                  <c:v>3.63</c:v>
                </c:pt>
                <c:pt idx="4">
                  <c:v>3.69</c:v>
                </c:pt>
                <c:pt idx="5">
                  <c:v>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多GPU!$C$10</c:f>
              <c:strCache>
                <c:ptCount val="1"/>
                <c:pt idx="0">
                  <c:v>    twitter_mpi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多GPU!$C$11:$C$16</c:f>
              <c:numCache>
                <c:formatCode>General</c:formatCode>
                <c:ptCount val="6"/>
                <c:pt idx="0">
                  <c:v>3.53</c:v>
                </c:pt>
                <c:pt idx="1">
                  <c:v>3.65</c:v>
                </c:pt>
                <c:pt idx="2">
                  <c:v>3.52</c:v>
                </c:pt>
                <c:pt idx="3">
                  <c:v>3.88</c:v>
                </c:pt>
                <c:pt idx="4">
                  <c:v>3.88</c:v>
                </c:pt>
                <c:pt idx="5">
                  <c:v>3.52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多GPU!$D$10</c:f>
              <c:strCache>
                <c:ptCount val="1"/>
                <c:pt idx="0">
                  <c:v>    datagen-sf3k-fb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多GPU!$D$11:$D$16</c:f>
              <c:numCache>
                <c:formatCode>General</c:formatCode>
                <c:ptCount val="6"/>
                <c:pt idx="0">
                  <c:v>3.89</c:v>
                </c:pt>
                <c:pt idx="1">
                  <c:v>3.63</c:v>
                </c:pt>
                <c:pt idx="2">
                  <c:v>3.84</c:v>
                </c:pt>
                <c:pt idx="3">
                  <c:v>3.7</c:v>
                </c:pt>
                <c:pt idx="4">
                  <c:v>3.73</c:v>
                </c:pt>
                <c:pt idx="5">
                  <c:v>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多GPU!$E$10</c:f>
              <c:strCache>
                <c:ptCount val="1"/>
                <c:pt idx="0">
                  <c:v>    graph500-28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多GPU!$E$11:$E$16</c:f>
              <c:numCache>
                <c:formatCode>General</c:formatCode>
                <c:ptCount val="6"/>
                <c:pt idx="0">
                  <c:v>3.58</c:v>
                </c:pt>
                <c:pt idx="1">
                  <c:v>3.72</c:v>
                </c:pt>
                <c:pt idx="2">
                  <c:v>3.71</c:v>
                </c:pt>
                <c:pt idx="3">
                  <c:v>3.77</c:v>
                </c:pt>
                <c:pt idx="4">
                  <c:v>3.58</c:v>
                </c:pt>
                <c:pt idx="5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多GPU!$F$10</c:f>
              <c:strCache>
                <c:ptCount val="1"/>
                <c:pt idx="0">
                  <c:v>    datagen-sf10k-fb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多GPU!$A$11:$A$16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多GPU!$F$11:$F$16</c:f>
              <c:numCache>
                <c:formatCode>General</c:formatCode>
                <c:ptCount val="6"/>
                <c:pt idx="0">
                  <c:v>3.88</c:v>
                </c:pt>
                <c:pt idx="1">
                  <c:v>3.55</c:v>
                </c:pt>
                <c:pt idx="2">
                  <c:v>3.61</c:v>
                </c:pt>
                <c:pt idx="3">
                  <c:v>3.65</c:v>
                </c:pt>
                <c:pt idx="4">
                  <c:v>3.58</c:v>
                </c:pt>
                <c:pt idx="5">
                  <c:v>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>
                    <a:effectLst/>
                  </a:rPr>
                  <a:t>Speedups</a:t>
                </a:r>
                <a:r>
                  <a:rPr lang="en-US" sz="1200" b="0" i="0" u="none" strike="noStrike" baseline="0"/>
                  <a:t>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39619604841061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83656696558763488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Orkut!$H$1</c:f>
              <c:strCache>
                <c:ptCount val="1"/>
                <c:pt idx="0">
                  <c:v>Global Mem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Orkut!$G$2:$G$7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Orkut!$H$2:$H$7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Orkut!$I$1</c:f>
              <c:strCache>
                <c:ptCount val="1"/>
                <c:pt idx="0">
                  <c:v>1/32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Orkut!$G$2:$G$7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Orkut!$I$2:$I$7</c:f>
              <c:numCache>
                <c:formatCode>General</c:formatCode>
                <c:ptCount val="6"/>
                <c:pt idx="0">
                  <c:v>0.96</c:v>
                </c:pt>
                <c:pt idx="1">
                  <c:v>0.93</c:v>
                </c:pt>
                <c:pt idx="2">
                  <c:v>0.87</c:v>
                </c:pt>
                <c:pt idx="3">
                  <c:v>0.92</c:v>
                </c:pt>
                <c:pt idx="4">
                  <c:v>0.91</c:v>
                </c:pt>
                <c:pt idx="5">
                  <c:v>0.88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Orkut!$J$1</c:f>
              <c:strCache>
                <c:ptCount val="1"/>
                <c:pt idx="0">
                  <c:v>1/64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Orkut!$G$2:$G$7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Orkut!$J$2:$J$7</c:f>
              <c:numCache>
                <c:formatCode>General</c:formatCode>
                <c:ptCount val="6"/>
                <c:pt idx="0">
                  <c:v>0.95</c:v>
                </c:pt>
                <c:pt idx="1">
                  <c:v>0.88</c:v>
                </c:pt>
                <c:pt idx="2">
                  <c:v>0.88</c:v>
                </c:pt>
                <c:pt idx="3">
                  <c:v>0.85</c:v>
                </c:pt>
                <c:pt idx="4">
                  <c:v>0.92</c:v>
                </c:pt>
                <c:pt idx="5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49117545202683005"/>
          <c:y val="0.13691469816272966"/>
          <c:w val="0.40697269612131814"/>
          <c:h val="0.2852843394575678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83656696558763488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Friendster!$P$1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Friendster!$O$2:$O$7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Friendster!$P$2:$P$7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Friendster!$Q$1</c:f>
              <c:strCache>
                <c:ptCount val="1"/>
                <c:pt idx="0">
                  <c:v>UM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Friendster!$O$2:$O$7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Friendster!$Q$2:$Q$7</c:f>
              <c:numCache>
                <c:formatCode>0.0</c:formatCode>
                <c:ptCount val="6"/>
                <c:pt idx="0">
                  <c:v>3.7914083026735081E-2</c:v>
                </c:pt>
                <c:pt idx="1">
                  <c:v>0.70139749394726325</c:v>
                </c:pt>
                <c:pt idx="2">
                  <c:v>1.8131038917517879</c:v>
                </c:pt>
                <c:pt idx="3">
                  <c:v>17.737190860794598</c:v>
                </c:pt>
                <c:pt idx="4">
                  <c:v>1.3434341314870699</c:v>
                </c:pt>
                <c:pt idx="5">
                  <c:v>0.93831079396539008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Friendster!$R$1</c:f>
              <c:strCache>
                <c:ptCount val="1"/>
                <c:pt idx="0">
                  <c:v>ZeroCopy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Friendster!$O$2:$O$7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Friendster!$R$2:$R$7</c:f>
              <c:numCache>
                <c:formatCode>0.0</c:formatCode>
                <c:ptCount val="6"/>
                <c:pt idx="0">
                  <c:v>2.9403952327223233</c:v>
                </c:pt>
                <c:pt idx="1">
                  <c:v>8.0057073925174187</c:v>
                </c:pt>
                <c:pt idx="2">
                  <c:v>14.97725075670304</c:v>
                </c:pt>
                <c:pt idx="3">
                  <c:v>35.324984385413238</c:v>
                </c:pt>
                <c:pt idx="4">
                  <c:v>3.2494481997927833</c:v>
                </c:pt>
                <c:pt idx="5">
                  <c:v>3.5615592797411781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Friendster!$S$1</c:f>
              <c:strCache>
                <c:ptCount val="1"/>
                <c:pt idx="0">
                  <c:v>1/32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Friendster!$O$2:$O$7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Friendster!$S$2:$S$7</c:f>
              <c:numCache>
                <c:formatCode>0.0</c:formatCode>
                <c:ptCount val="6"/>
                <c:pt idx="0">
                  <c:v>4.6593087288571242</c:v>
                </c:pt>
                <c:pt idx="1">
                  <c:v>11.881057501945463</c:v>
                </c:pt>
                <c:pt idx="2">
                  <c:v>19.331208838892739</c:v>
                </c:pt>
                <c:pt idx="3">
                  <c:v>47.50634135226786</c:v>
                </c:pt>
                <c:pt idx="4">
                  <c:v>5.5845526438198867</c:v>
                </c:pt>
                <c:pt idx="5">
                  <c:v>4.7982350432496403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Friendster!$T$1</c:f>
              <c:strCache>
                <c:ptCount val="1"/>
                <c:pt idx="0">
                  <c:v>1/64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Friendster!$O$2:$O$7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Friendster!$T$2:$T$7</c:f>
              <c:numCache>
                <c:formatCode>0.0</c:formatCode>
                <c:ptCount val="6"/>
                <c:pt idx="0">
                  <c:v>3.6593087288571202</c:v>
                </c:pt>
                <c:pt idx="1">
                  <c:v>10.8810575019455</c:v>
                </c:pt>
                <c:pt idx="2">
                  <c:v>20.331208838892699</c:v>
                </c:pt>
                <c:pt idx="3">
                  <c:v>47.906341352267901</c:v>
                </c:pt>
                <c:pt idx="4">
                  <c:v>5.8988137875186801</c:v>
                </c:pt>
                <c:pt idx="5">
                  <c:v>4.7588279438598997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/>
                  <a:t>Speedups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75969397054534848"/>
          <c:y val="9.8025809273840775E-2"/>
          <c:w val="0.19169491834354035"/>
          <c:h val="0.4630621172353455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83656696558763488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SF3K!$Q$1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SF3K!$P$2:$P$7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SF3K!$Q$2:$Q$7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SF3K!$R$1</c:f>
              <c:strCache>
                <c:ptCount val="1"/>
                <c:pt idx="0">
                  <c:v>UM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SF3K!$P$2:$P$7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SF3K!$R$2:$R$7</c:f>
              <c:numCache>
                <c:formatCode>General</c:formatCode>
                <c:ptCount val="6"/>
                <c:pt idx="0">
                  <c:v>0.12</c:v>
                </c:pt>
                <c:pt idx="1">
                  <c:v>0.21013974939472599</c:v>
                </c:pt>
                <c:pt idx="2">
                  <c:v>2.1131038917517899</c:v>
                </c:pt>
                <c:pt idx="3">
                  <c:v>10.7371908607946</c:v>
                </c:pt>
                <c:pt idx="4">
                  <c:v>1.3434341314870699</c:v>
                </c:pt>
                <c:pt idx="5">
                  <c:v>0.63831079396539003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SF3K!$S$1</c:f>
              <c:strCache>
                <c:ptCount val="1"/>
                <c:pt idx="0">
                  <c:v>ZeroCopy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SF3K!$P$2:$P$7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SF3K!$S$2:$S$7</c:f>
              <c:numCache>
                <c:formatCode>General</c:formatCode>
                <c:ptCount val="6"/>
                <c:pt idx="0">
                  <c:v>1.5288277170570801</c:v>
                </c:pt>
                <c:pt idx="1">
                  <c:v>4.8642005686156127</c:v>
                </c:pt>
                <c:pt idx="2">
                  <c:v>15.2700545158045</c:v>
                </c:pt>
                <c:pt idx="3">
                  <c:v>18.9545938965062</c:v>
                </c:pt>
                <c:pt idx="4">
                  <c:v>1.3746219656452694</c:v>
                </c:pt>
                <c:pt idx="5">
                  <c:v>1.3428206817381831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SF3K!$T$1</c:f>
              <c:strCache>
                <c:ptCount val="1"/>
                <c:pt idx="0">
                  <c:v>1/32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SF3K!$P$2:$P$7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SF3K!$T$2:$T$7</c:f>
              <c:numCache>
                <c:formatCode>General</c:formatCode>
                <c:ptCount val="6"/>
                <c:pt idx="0">
                  <c:v>2.2158459962884867</c:v>
                </c:pt>
                <c:pt idx="1">
                  <c:v>15.652497386552445</c:v>
                </c:pt>
                <c:pt idx="2">
                  <c:v>23.79957964847739</c:v>
                </c:pt>
                <c:pt idx="3">
                  <c:v>51.058894927724289</c:v>
                </c:pt>
                <c:pt idx="4">
                  <c:v>4.1396934455444683</c:v>
                </c:pt>
                <c:pt idx="5">
                  <c:v>3.6285582845570037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SF3K!$U$1</c:f>
              <c:strCache>
                <c:ptCount val="1"/>
                <c:pt idx="0">
                  <c:v>1/64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SF3K!$P$2:$P$7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SF3K!$U$2:$U$7</c:f>
              <c:numCache>
                <c:formatCode>General</c:formatCode>
                <c:ptCount val="6"/>
                <c:pt idx="0">
                  <c:v>1.9158459962884899</c:v>
                </c:pt>
                <c:pt idx="1">
                  <c:v>14.652497386552399</c:v>
                </c:pt>
                <c:pt idx="2">
                  <c:v>23.9995796484774</c:v>
                </c:pt>
                <c:pt idx="3">
                  <c:v>48.058894927724303</c:v>
                </c:pt>
                <c:pt idx="4">
                  <c:v>4.7396934455444697</c:v>
                </c:pt>
                <c:pt idx="5">
                  <c:v>3.8285582845569999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75969397054534848"/>
          <c:y val="9.8025809273840775E-2"/>
          <c:w val="0.19169491834354035"/>
          <c:h val="0.4630621172353455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83656696558763488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SF10k!$O$1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SF10k!$N$2:$N$7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SF10k!$O$2:$O$7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SF10k!$P$1</c:f>
              <c:strCache>
                <c:ptCount val="1"/>
                <c:pt idx="0">
                  <c:v>UM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SF10k!$N$2:$N$7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SF10k!$P$2:$P$7</c:f>
              <c:numCache>
                <c:formatCode>General</c:formatCode>
                <c:ptCount val="6"/>
                <c:pt idx="0">
                  <c:v>0.15</c:v>
                </c:pt>
                <c:pt idx="1">
                  <c:v>0.21013974939472599</c:v>
                </c:pt>
                <c:pt idx="2">
                  <c:v>2.1131038917517899</c:v>
                </c:pt>
                <c:pt idx="3">
                  <c:v>10.7371908607946</c:v>
                </c:pt>
                <c:pt idx="4">
                  <c:v>1.3434341314870699</c:v>
                </c:pt>
                <c:pt idx="5">
                  <c:v>0.63831079396539003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SF10k!$Q$1</c:f>
              <c:strCache>
                <c:ptCount val="1"/>
                <c:pt idx="0">
                  <c:v>ZeroCopy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SF10k!$N$2:$N$7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SF10k!$Q$2:$Q$7</c:f>
              <c:numCache>
                <c:formatCode>General</c:formatCode>
                <c:ptCount val="6"/>
                <c:pt idx="0">
                  <c:v>1.4401856591582431</c:v>
                </c:pt>
                <c:pt idx="1">
                  <c:v>6.1465464644993402</c:v>
                </c:pt>
                <c:pt idx="2">
                  <c:v>13.0015183696561</c:v>
                </c:pt>
                <c:pt idx="3">
                  <c:v>23.992039523292298</c:v>
                </c:pt>
                <c:pt idx="4">
                  <c:v>1.4909619426008727</c:v>
                </c:pt>
                <c:pt idx="5">
                  <c:v>1.3439260772666255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SF10k!$R$1</c:f>
              <c:strCache>
                <c:ptCount val="1"/>
                <c:pt idx="0">
                  <c:v>1/32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SF10k!$N$2:$N$7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SF10k!$R$2:$R$7</c:f>
              <c:numCache>
                <c:formatCode>General</c:formatCode>
                <c:ptCount val="6"/>
                <c:pt idx="0">
                  <c:v>1.7970032622259269</c:v>
                </c:pt>
                <c:pt idx="1">
                  <c:v>16.08307139862805</c:v>
                </c:pt>
                <c:pt idx="2">
                  <c:v>22.499977694177439</c:v>
                </c:pt>
                <c:pt idx="3">
                  <c:v>50.898652021146098</c:v>
                </c:pt>
                <c:pt idx="4">
                  <c:v>4.2540914026880099</c:v>
                </c:pt>
                <c:pt idx="5">
                  <c:v>3.3227406245998257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SF10k!$S$1</c:f>
              <c:strCache>
                <c:ptCount val="1"/>
                <c:pt idx="0">
                  <c:v>1/64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SF10k!$N$2:$N$7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SF10k!$S$2:$S$7</c:f>
              <c:numCache>
                <c:formatCode>General</c:formatCode>
                <c:ptCount val="6"/>
                <c:pt idx="0">
                  <c:v>1.59700326222593</c:v>
                </c:pt>
                <c:pt idx="1">
                  <c:v>16.8830713986281</c:v>
                </c:pt>
                <c:pt idx="2">
                  <c:v>22.999977694177399</c:v>
                </c:pt>
                <c:pt idx="3">
                  <c:v>51.898652021146098</c:v>
                </c:pt>
                <c:pt idx="4">
                  <c:v>3.9540914026880101</c:v>
                </c:pt>
                <c:pt idx="5">
                  <c:v>3.8227406245998301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75969397054534848"/>
          <c:y val="9.8025809273840775E-2"/>
          <c:w val="0.19169491834354035"/>
          <c:h val="0.4630621172353455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83656696558763488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'Graph500-28'!$Q$1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'Graph500-28'!$P$2:$P$7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'Graph500-28'!$Q$2:$Q$7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'Graph500-28'!$R$1</c:f>
              <c:strCache>
                <c:ptCount val="1"/>
                <c:pt idx="0">
                  <c:v>UM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'Graph500-28'!$P$2:$P$7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'Graph500-28'!$R$2:$R$7</c:f>
              <c:numCache>
                <c:formatCode>General</c:formatCode>
                <c:ptCount val="6"/>
                <c:pt idx="0">
                  <c:v>0.12</c:v>
                </c:pt>
                <c:pt idx="1">
                  <c:v>0.51013974900000003</c:v>
                </c:pt>
                <c:pt idx="2">
                  <c:v>2.1131038919999998</c:v>
                </c:pt>
                <c:pt idx="3">
                  <c:v>3.7371908610000002</c:v>
                </c:pt>
                <c:pt idx="4">
                  <c:v>2.1434341309999998</c:v>
                </c:pt>
                <c:pt idx="5">
                  <c:v>0.93831079399999995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'Graph500-28'!$S$1</c:f>
              <c:strCache>
                <c:ptCount val="1"/>
                <c:pt idx="0">
                  <c:v>ZeroCopy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'Graph500-28'!$P$2:$P$7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'Graph500-28'!$S$2:$S$7</c:f>
              <c:numCache>
                <c:formatCode>General</c:formatCode>
                <c:ptCount val="6"/>
                <c:pt idx="0">
                  <c:v>6.4554052064433742</c:v>
                </c:pt>
                <c:pt idx="1">
                  <c:v>1.6995582953913331</c:v>
                </c:pt>
                <c:pt idx="2">
                  <c:v>9.3243236338791</c:v>
                </c:pt>
                <c:pt idx="3">
                  <c:v>16.107339584900885</c:v>
                </c:pt>
                <c:pt idx="4">
                  <c:v>17.218232991672469</c:v>
                </c:pt>
                <c:pt idx="5">
                  <c:v>5.3295928769801888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'Graph500-28'!$T$1</c:f>
              <c:strCache>
                <c:ptCount val="1"/>
                <c:pt idx="0">
                  <c:v>1/32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'Graph500-28'!$P$2:$P$7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'Graph500-28'!$T$2:$T$7</c:f>
              <c:numCache>
                <c:formatCode>General</c:formatCode>
                <c:ptCount val="6"/>
                <c:pt idx="0">
                  <c:v>23.292620396157105</c:v>
                </c:pt>
                <c:pt idx="1">
                  <c:v>4.8931411854759945</c:v>
                </c:pt>
                <c:pt idx="2">
                  <c:v>11.484573919738402</c:v>
                </c:pt>
                <c:pt idx="3">
                  <c:v>27.260043828104369</c:v>
                </c:pt>
                <c:pt idx="4">
                  <c:v>53.484903287123281</c:v>
                </c:pt>
                <c:pt idx="5">
                  <c:v>10.32026005745896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'Graph500-28'!$U$1</c:f>
              <c:strCache>
                <c:ptCount val="1"/>
                <c:pt idx="0">
                  <c:v>1/64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'Graph500-28'!$P$2:$P$7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'Graph500-28'!$U$2:$U$7</c:f>
              <c:numCache>
                <c:formatCode>General</c:formatCode>
                <c:ptCount val="6"/>
                <c:pt idx="0">
                  <c:v>21.292620396157101</c:v>
                </c:pt>
                <c:pt idx="1">
                  <c:v>5.0931411854759903</c:v>
                </c:pt>
                <c:pt idx="2">
                  <c:v>10.4845739197384</c:v>
                </c:pt>
                <c:pt idx="3">
                  <c:v>25.260043828104401</c:v>
                </c:pt>
                <c:pt idx="4">
                  <c:v>54.484903287123302</c:v>
                </c:pt>
                <c:pt idx="5">
                  <c:v>9.3202600574590004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25506434091571883"/>
          <c:y val="0.12024803149606299"/>
          <c:w val="0.19169491834354035"/>
          <c:h val="0.4630621172353455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06270049577136"/>
          <c:y val="6.7646682504607869E-2"/>
          <c:w val="0.83656696558763488"/>
          <c:h val="0.77446062819222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'Twitter-mpi'!$N$1</c:f>
              <c:strCache>
                <c:ptCount val="1"/>
                <c:pt idx="0">
                  <c:v>CPU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'Twitter-mpi'!$M$2:$M$7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'Twitter-mpi'!$N$2:$N$7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7949-A5EE-F60E5D8BF9AB}"/>
            </c:ext>
          </c:extLst>
        </c:ser>
        <c:ser>
          <c:idx val="1"/>
          <c:order val="1"/>
          <c:tx>
            <c:strRef>
              <c:f>'Twitter-mpi'!$O$1</c:f>
              <c:strCache>
                <c:ptCount val="1"/>
                <c:pt idx="0">
                  <c:v>UM</c:v>
                </c:pt>
              </c:strCache>
            </c:strRef>
          </c:tx>
          <c:spPr>
            <a:pattFill prst="wdDnDiag">
              <a:fgClr>
                <a:srgbClr val="7030A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'Twitter-mpi'!$M$2:$M$7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'Twitter-mpi'!$O$2:$O$7</c:f>
              <c:numCache>
                <c:formatCode>General</c:formatCode>
                <c:ptCount val="6"/>
                <c:pt idx="0">
                  <c:v>0.12</c:v>
                </c:pt>
                <c:pt idx="1">
                  <c:v>0.91013974900000005</c:v>
                </c:pt>
                <c:pt idx="2">
                  <c:v>1.113103892</c:v>
                </c:pt>
                <c:pt idx="3">
                  <c:v>2.7371908610000002</c:v>
                </c:pt>
                <c:pt idx="4">
                  <c:v>1.143434131</c:v>
                </c:pt>
                <c:pt idx="5">
                  <c:v>0.73831079399999999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97-7949-A5EE-F60E5D8BF9AB}"/>
            </c:ext>
          </c:extLst>
        </c:ser>
        <c:ser>
          <c:idx val="2"/>
          <c:order val="2"/>
          <c:tx>
            <c:strRef>
              <c:f>'Twitter-mpi'!$P$1</c:f>
              <c:strCache>
                <c:ptCount val="1"/>
                <c:pt idx="0">
                  <c:v>ZeroCopy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'Twitter-mpi'!$M$2:$M$7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'Twitter-mpi'!$P$2:$P$7</c:f>
              <c:numCache>
                <c:formatCode>General</c:formatCode>
                <c:ptCount val="6"/>
                <c:pt idx="0">
                  <c:v>8.4554052064433698</c:v>
                </c:pt>
                <c:pt idx="1">
                  <c:v>4.6995582953913297</c:v>
                </c:pt>
                <c:pt idx="2">
                  <c:v>7.3243236338791</c:v>
                </c:pt>
                <c:pt idx="3">
                  <c:v>15.107339584900901</c:v>
                </c:pt>
                <c:pt idx="4">
                  <c:v>17.218232991672469</c:v>
                </c:pt>
                <c:pt idx="5">
                  <c:v>5.3295928769801888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97-7949-A5EE-F60E5D8BF9AB}"/>
            </c:ext>
          </c:extLst>
        </c:ser>
        <c:ser>
          <c:idx val="3"/>
          <c:order val="3"/>
          <c:tx>
            <c:strRef>
              <c:f>'Twitter-mpi'!$Q$1</c:f>
              <c:strCache>
                <c:ptCount val="1"/>
                <c:pt idx="0">
                  <c:v>1/32</c:v>
                </c:pt>
              </c:strCache>
            </c:strRef>
          </c:tx>
          <c:spPr>
            <a:pattFill prst="dkHorz">
              <a:fgClr>
                <a:schemeClr val="accent6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'Twitter-mpi'!$M$2:$M$7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'Twitter-mpi'!$Q$2:$Q$7</c:f>
              <c:numCache>
                <c:formatCode>General</c:formatCode>
                <c:ptCount val="6"/>
                <c:pt idx="0">
                  <c:v>18.292620396157101</c:v>
                </c:pt>
                <c:pt idx="1">
                  <c:v>8.8931411854759901</c:v>
                </c:pt>
                <c:pt idx="2">
                  <c:v>14.4845739197384</c:v>
                </c:pt>
                <c:pt idx="3">
                  <c:v>32.260043828104401</c:v>
                </c:pt>
                <c:pt idx="4">
                  <c:v>27.484903287123299</c:v>
                </c:pt>
                <c:pt idx="5">
                  <c:v>14.320260057459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97-7949-A5EE-F60E5D8BF9AB}"/>
            </c:ext>
          </c:extLst>
        </c:ser>
        <c:ser>
          <c:idx val="4"/>
          <c:order val="4"/>
          <c:tx>
            <c:strRef>
              <c:f>'Twitter-mpi'!$R$1</c:f>
              <c:strCache>
                <c:ptCount val="1"/>
                <c:pt idx="0">
                  <c:v>1/64</c:v>
                </c:pt>
              </c:strCache>
            </c:strRef>
          </c:tx>
          <c:spPr>
            <a:pattFill prst="zigZag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'Twitter-mpi'!$M$2:$M$7</c:f>
              <c:strCache>
                <c:ptCount val="6"/>
                <c:pt idx="0">
                  <c:v>P1</c:v>
                </c:pt>
                <c:pt idx="1">
                  <c:v>p7</c:v>
                </c:pt>
                <c:pt idx="2">
                  <c:v>p8</c:v>
                </c:pt>
                <c:pt idx="3">
                  <c:v>p4</c:v>
                </c:pt>
                <c:pt idx="4">
                  <c:v>p6</c:v>
                </c:pt>
                <c:pt idx="5">
                  <c:v>p9</c:v>
                </c:pt>
              </c:strCache>
            </c:strRef>
          </c:cat>
          <c:val>
            <c:numRef>
              <c:f>'Twitter-mpi'!$R$2:$R$7</c:f>
              <c:numCache>
                <c:formatCode>General</c:formatCode>
                <c:ptCount val="6"/>
                <c:pt idx="0">
                  <c:v>20.292620396157101</c:v>
                </c:pt>
                <c:pt idx="1">
                  <c:v>6.0931411854759903</c:v>
                </c:pt>
                <c:pt idx="2">
                  <c:v>13.4845739197384</c:v>
                </c:pt>
                <c:pt idx="3">
                  <c:v>31.260043828104401</c:v>
                </c:pt>
                <c:pt idx="4">
                  <c:v>28.484903287123299</c:v>
                </c:pt>
                <c:pt idx="5">
                  <c:v>12.320260057459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97-7949-A5EE-F60E5D8BF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093071"/>
        <c:axId val="2010094719"/>
      </c:barChart>
      <c:catAx>
        <c:axId val="201009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4719"/>
        <c:crosses val="autoZero"/>
        <c:auto val="1"/>
        <c:lblAlgn val="ctr"/>
        <c:lblOffset val="100"/>
        <c:noMultiLvlLbl val="0"/>
      </c:catAx>
      <c:valAx>
        <c:axId val="2010094719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93071"/>
        <c:crosses val="autoZero"/>
        <c:crossBetween val="between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r"/>
      <c:layout>
        <c:manualLayout>
          <c:xMode val="edge"/>
          <c:yMode val="edge"/>
          <c:x val="0.27821248906386697"/>
          <c:y val="7.1316205666599367E-2"/>
          <c:w val="0.19169491834354035"/>
          <c:h val="0.4630621172353455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b" anchorCtr="0"/>
        <a:lstStyle/>
        <a:p>
          <a:pPr>
            <a:defRPr sz="1200" b="0" i="0" u="none" strike="noStrike" kern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" lastClr="FFFFFF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1371600</xdr:colOff>
      <xdr:row>19</xdr:row>
      <xdr:rowOff>127000</xdr:rowOff>
    </xdr:from>
    <xdr:to>
      <xdr:col>8</xdr:col>
      <xdr:colOff>977900</xdr:colOff>
      <xdr:row>30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D3FA3A-ABB1-4C21-A528-9777EBBF8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673100</xdr:colOff>
      <xdr:row>2</xdr:row>
      <xdr:rowOff>25400</xdr:rowOff>
    </xdr:from>
    <xdr:to>
      <xdr:col>11</xdr:col>
      <xdr:colOff>749300</xdr:colOff>
      <xdr:row>13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2A1516-8F3B-11B9-7639-0A0C216D5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1168400</xdr:colOff>
      <xdr:row>3</xdr:row>
      <xdr:rowOff>76200</xdr:rowOff>
    </xdr:from>
    <xdr:to>
      <xdr:col>17</xdr:col>
      <xdr:colOff>190500</xdr:colOff>
      <xdr:row>14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BE1BF7-AE43-2F44-35FF-CA2A94DFC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406400</xdr:colOff>
      <xdr:row>19</xdr:row>
      <xdr:rowOff>177800</xdr:rowOff>
    </xdr:from>
    <xdr:to>
      <xdr:col>11</xdr:col>
      <xdr:colOff>1308100</xdr:colOff>
      <xdr:row>31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A3E855-3958-50E2-FF09-EF04ABF55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622300</xdr:colOff>
      <xdr:row>5</xdr:row>
      <xdr:rowOff>152400</xdr:rowOff>
    </xdr:from>
    <xdr:to>
      <xdr:col>13</xdr:col>
      <xdr:colOff>330200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13350-0B1C-2386-D8E1-CC6619AA5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692150</xdr:colOff>
      <xdr:row>18</xdr:row>
      <xdr:rowOff>25400</xdr:rowOff>
    </xdr:from>
    <xdr:to>
      <xdr:col>13</xdr:col>
      <xdr:colOff>400050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B79CA9-7D76-94D6-75C4-1A6685100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63500</xdr:colOff>
      <xdr:row>10</xdr:row>
      <xdr:rowOff>152400</xdr:rowOff>
    </xdr:from>
    <xdr:to>
      <xdr:col>14</xdr:col>
      <xdr:colOff>596900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69D1C7-3E38-5263-9265-7D228637E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719913</xdr:colOff>
      <xdr:row>26</xdr:row>
      <xdr:rowOff>144566</xdr:rowOff>
    </xdr:from>
    <xdr:to>
      <xdr:col>13</xdr:col>
      <xdr:colOff>665404</xdr:colOff>
      <xdr:row>37</xdr:row>
      <xdr:rowOff>198683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D07DBA-A12F-9C31-8691-42C6CCD81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0.66171</cdr:x>
      <cdr:y>0.09036</cdr:y>
    </cdr:from>
    <cdr:to>
      <cdr:x>0.73347</cdr:x>
      <cdr:y>0.37059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7953FCFF-303F-7823-5A0D-AB7E42348101}"/>
            </a:ext>
          </a:extLst>
        </cdr:cNvPr>
        <cdr:cNvSpPr/>
      </cdr:nvSpPr>
      <cdr:spPr>
        <a:xfrm xmlns:a="http://schemas.openxmlformats.org/drawingml/2006/main">
          <a:off x="3631926" y="205382"/>
          <a:ext cx="393863" cy="6369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none" lIns="0" tIns="0" rIns="0" bIns="0"/>
        <a:lstStyle xmlns:a="http://schemas.openxmlformats.org/drawingml/2006/main"/>
        <a:p xmlns:a="http://schemas.openxmlformats.org/drawingml/2006/main">
          <a:r>
            <a:rPr lang="en-US" sz="1000"/>
            <a:t>35.3</a:t>
          </a:r>
        </a:p>
        <a:p xmlns:a="http://schemas.openxmlformats.org/drawingml/2006/main">
          <a:r>
            <a:rPr lang="en-US" sz="1000"/>
            <a:t>47.5</a:t>
          </a:r>
        </a:p>
        <a:p xmlns:a="http://schemas.openxmlformats.org/drawingml/2006/main">
          <a:r>
            <a:rPr lang="en-US" sz="1000"/>
            <a:t>47.9</a:t>
          </a:r>
        </a:p>
        <a:p xmlns:a="http://schemas.openxmlformats.org/drawingml/2006/main">
          <a:endParaRPr lang="en-US" sz="1000"/>
        </a:p>
        <a:p xmlns:a="http://schemas.openxmlformats.org/drawingml/2006/main">
          <a:endParaRPr lang="en-US" sz="10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800100</xdr:colOff>
      <xdr:row>8</xdr:row>
      <xdr:rowOff>114300</xdr:rowOff>
    </xdr:from>
    <xdr:to>
      <xdr:col>16</xdr:col>
      <xdr:colOff>508000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02080-D874-030A-5C97-19D109913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0.64815</cdr:x>
      <cdr:y>0.11111</cdr:y>
    </cdr:from>
    <cdr:to>
      <cdr:x>0.75694</cdr:x>
      <cdr:y>0.52778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DE9427BE-BDBC-3290-4DA1-8A39C54563A7}"/>
            </a:ext>
          </a:extLst>
        </cdr:cNvPr>
        <cdr:cNvSpPr/>
      </cdr:nvSpPr>
      <cdr:spPr>
        <a:xfrm xmlns:a="http://schemas.openxmlformats.org/drawingml/2006/main">
          <a:off x="3556000" y="254000"/>
          <a:ext cx="596900" cy="952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/>
        <a:lstStyle xmlns:a="http://schemas.openxmlformats.org/drawingml/2006/main"/>
        <a:p xmlns:a="http://schemas.openxmlformats.org/drawingml/2006/main">
          <a:r>
            <a:rPr lang="en-US"/>
            <a:t>51.05</a:t>
          </a:r>
        </a:p>
        <a:p xmlns:a="http://schemas.openxmlformats.org/drawingml/2006/main">
          <a:r>
            <a:rPr lang="en-US"/>
            <a:t>48.05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558800</xdr:colOff>
      <xdr:row>26</xdr:row>
      <xdr:rowOff>12700</xdr:rowOff>
    </xdr:from>
    <xdr:to>
      <xdr:col>13</xdr:col>
      <xdr:colOff>685800</xdr:colOff>
      <xdr:row>37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FA06E6-F894-7DEC-55D8-2B5DDA8BA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0.64583</cdr:x>
      <cdr:y>0.11667</cdr:y>
    </cdr:from>
    <cdr:to>
      <cdr:x>0.75231</cdr:x>
      <cdr:y>0.46111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55755464-BD7E-3222-CEFA-9FB817BC91D7}"/>
            </a:ext>
          </a:extLst>
        </cdr:cNvPr>
        <cdr:cNvSpPr/>
      </cdr:nvSpPr>
      <cdr:spPr>
        <a:xfrm xmlns:a="http://schemas.openxmlformats.org/drawingml/2006/main">
          <a:off x="3543300" y="266700"/>
          <a:ext cx="584200" cy="7874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50.8</a:t>
          </a:r>
        </a:p>
        <a:p xmlns:a="http://schemas.openxmlformats.org/drawingml/2006/main">
          <a:r>
            <a:rPr lang="en-US"/>
            <a:t>51.8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11</xdr:row>
      <xdr:rowOff>152400</xdr:rowOff>
    </xdr:from>
    <xdr:to>
      <xdr:col>20</xdr:col>
      <xdr:colOff>762000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00035-4E0D-5740-CD09-5040DC011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0.64583</cdr:x>
      <cdr:y>0.10556</cdr:y>
    </cdr:from>
    <cdr:to>
      <cdr:x>0.73611</cdr:x>
      <cdr:y>0.36111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C7EF3FC4-A72F-FC46-2196-59D6DB644FAD}"/>
            </a:ext>
          </a:extLst>
        </cdr:cNvPr>
        <cdr:cNvSpPr/>
      </cdr:nvSpPr>
      <cdr:spPr>
        <a:xfrm xmlns:a="http://schemas.openxmlformats.org/drawingml/2006/main">
          <a:off x="3543300" y="241300"/>
          <a:ext cx="495300" cy="584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/>
        <a:lstStyle xmlns:a="http://schemas.openxmlformats.org/drawingml/2006/main"/>
        <a:p xmlns:a="http://schemas.openxmlformats.org/drawingml/2006/main">
          <a:r>
            <a:rPr lang="en-US"/>
            <a:t>27.2</a:t>
          </a:r>
        </a:p>
        <a:p xmlns:a="http://schemas.openxmlformats.org/drawingml/2006/main">
          <a:r>
            <a:rPr lang="en-US"/>
            <a:t>25.2</a:t>
          </a:r>
        </a:p>
      </cdr:txBody>
    </cdr:sp>
  </cdr:relSizeAnchor>
  <cdr:relSizeAnchor xmlns:cdr="http://schemas.openxmlformats.org/drawingml/2006/chartDrawing">
    <cdr:from>
      <cdr:x>0.78472</cdr:x>
      <cdr:y>0.1</cdr:y>
    </cdr:from>
    <cdr:to>
      <cdr:x>0.87269</cdr:x>
      <cdr:y>0.31667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672A17B-E147-95FB-EB47-7BCB24730B45}"/>
            </a:ext>
          </a:extLst>
        </cdr:cNvPr>
        <cdr:cNvSpPr/>
      </cdr:nvSpPr>
      <cdr:spPr>
        <a:xfrm xmlns:a="http://schemas.openxmlformats.org/drawingml/2006/main">
          <a:off x="4305300" y="228600"/>
          <a:ext cx="482600" cy="495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/>
            <a:t>53.5</a:t>
          </a:r>
        </a:p>
        <a:p xmlns:a="http://schemas.openxmlformats.org/drawingml/2006/main">
          <a:r>
            <a:rPr lang="en-US"/>
            <a:t>54.5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660400</xdr:colOff>
      <xdr:row>13</xdr:row>
      <xdr:rowOff>12700</xdr:rowOff>
    </xdr:from>
    <xdr:to>
      <xdr:col>13</xdr:col>
      <xdr:colOff>368300</xdr:colOff>
      <xdr:row>24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D3FEE-EFBF-075B-0B50-4A12D3852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0.65972</cdr:x>
      <cdr:y>0.10684</cdr:y>
    </cdr:from>
    <cdr:to>
      <cdr:x>0.74306</cdr:x>
      <cdr:y>0.33654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5C69363-54EC-8DF1-F88B-17FC465E8ED3}"/>
            </a:ext>
          </a:extLst>
        </cdr:cNvPr>
        <cdr:cNvSpPr/>
      </cdr:nvSpPr>
      <cdr:spPr>
        <a:xfrm xmlns:a="http://schemas.openxmlformats.org/drawingml/2006/main">
          <a:off x="3619500" y="254000"/>
          <a:ext cx="457200" cy="546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lIns="0" tIns="0" rIns="0" bIns="0"/>
        <a:lstStyle xmlns:a="http://schemas.openxmlformats.org/drawingml/2006/main"/>
        <a:p xmlns:a="http://schemas.openxmlformats.org/drawingml/2006/main">
          <a:r>
            <a:rPr lang="en-US"/>
            <a:t>32.2</a:t>
          </a:r>
        </a:p>
        <a:p xmlns:a="http://schemas.openxmlformats.org/drawingml/2006/main">
          <a:r>
            <a:rPr lang="en-US"/>
            <a:t>31.6</a:t>
          </a:r>
        </a:p>
      </cdr:txBody>
    </cdr:sp>
  </cdr:relSizeAnchor>
  <cdr:relSizeAnchor xmlns:cdr="http://schemas.openxmlformats.org/drawingml/2006/chartDrawing">
    <cdr:from>
      <cdr:x>0.79861</cdr:x>
      <cdr:y>0.13889</cdr:y>
    </cdr:from>
    <cdr:to>
      <cdr:x>0.88426</cdr:x>
      <cdr:y>0.35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6AD556C-8244-1914-C826-DD64EF27EA0F}"/>
            </a:ext>
          </a:extLst>
        </cdr:cNvPr>
        <cdr:cNvSpPr/>
      </cdr:nvSpPr>
      <cdr:spPr>
        <a:xfrm xmlns:a="http://schemas.openxmlformats.org/drawingml/2006/main">
          <a:off x="4381500" y="317500"/>
          <a:ext cx="469900" cy="482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wrap="none" lIns="0" tIns="0" rIns="0" bIns="0"/>
        <a:lstStyle xmlns:a="http://schemas.openxmlformats.org/drawingml/2006/main"/>
        <a:p xmlns:a="http://schemas.openxmlformats.org/drawingml/2006/main">
          <a:r>
            <a:rPr lang="en-US"/>
            <a:t>27.4</a:t>
          </a:r>
        </a:p>
        <a:p xmlns:a="http://schemas.openxmlformats.org/drawingml/2006/main">
          <a:r>
            <a:rPr lang="en-US"/>
            <a:t>28.4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989E-7654-5049-8F4C-E54217F06CBC}">
  <dimension ref="A1:M43"/>
  <sheetViews>
    <sheetView topLeftCell="A9" workbookViewId="0">
      <selection activeCell="A10" sqref="A10:F16"/>
    </sheetView>
  </sheetViews>
  <sheetFormatPr baseColWidth="10" defaultRowHeight="16" x14ac:dyDescent="0.2"/>
  <cols>
    <col min="2" max="3" width="17.6640625" customWidth="1"/>
    <col min="4" max="4" width="18.5" customWidth="1"/>
    <col min="5" max="5" width="16.33203125" customWidth="1"/>
    <col min="6" max="6" width="20.6640625" customWidth="1"/>
    <col min="9" max="9" width="14.6640625" customWidth="1"/>
    <col min="10" max="10" width="17" customWidth="1"/>
    <col min="11" max="11" width="17.6640625" customWidth="1"/>
    <col min="12" max="12" width="21.83203125" customWidth="1"/>
    <col min="13" max="13" width="19.6640625" customWidth="1"/>
  </cols>
  <sheetData>
    <row r="1" spans="1:6" x14ac:dyDescent="0.2">
      <c r="B1" t="s">
        <v>12</v>
      </c>
      <c r="C1" t="s">
        <v>58</v>
      </c>
      <c r="D1" t="s">
        <v>14</v>
      </c>
      <c r="E1" t="s">
        <v>15</v>
      </c>
      <c r="F1" t="s">
        <v>16</v>
      </c>
    </row>
    <row r="2" spans="1:6" x14ac:dyDescent="0.2">
      <c r="A2" t="s">
        <v>0</v>
      </c>
      <c r="B2">
        <v>0.95195099999999999</v>
      </c>
      <c r="C2">
        <v>0.97958400000000001</v>
      </c>
      <c r="D2">
        <v>0.90680400000000005</v>
      </c>
      <c r="E2" s="4">
        <v>0.88459600000000005</v>
      </c>
      <c r="F2">
        <v>0.91709797000000004</v>
      </c>
    </row>
    <row r="3" spans="1:6" x14ac:dyDescent="0.2">
      <c r="A3" t="s">
        <v>1</v>
      </c>
      <c r="B3">
        <v>0.90280800000000005</v>
      </c>
      <c r="C3">
        <v>0.92138200000000003</v>
      </c>
      <c r="D3">
        <v>0.96277100000000004</v>
      </c>
      <c r="E3" s="4">
        <v>0.91156700000000002</v>
      </c>
      <c r="F3">
        <v>0.95277100000000003</v>
      </c>
    </row>
    <row r="4" spans="1:6" x14ac:dyDescent="0.2">
      <c r="A4" t="s">
        <v>2</v>
      </c>
      <c r="B4">
        <v>0.89422199999999996</v>
      </c>
      <c r="C4">
        <v>0.85493300000000005</v>
      </c>
      <c r="D4">
        <v>0.64088299999999998</v>
      </c>
      <c r="E4" s="4">
        <v>0.87326000000000004</v>
      </c>
      <c r="F4">
        <v>0.69088300000000002</v>
      </c>
    </row>
    <row r="5" spans="1:6" x14ac:dyDescent="0.2">
      <c r="A5" t="s">
        <v>3</v>
      </c>
      <c r="B5">
        <v>0.99856100000000003</v>
      </c>
      <c r="C5">
        <v>0.76303100000000001</v>
      </c>
      <c r="D5">
        <v>0.97504299999999999</v>
      </c>
      <c r="E5" s="4">
        <v>1</v>
      </c>
      <c r="F5">
        <v>0.985043</v>
      </c>
    </row>
    <row r="6" spans="1:6" x14ac:dyDescent="0.2">
      <c r="A6" t="s">
        <v>4</v>
      </c>
      <c r="B6">
        <v>0.91041399999999995</v>
      </c>
      <c r="C6">
        <v>0.95035000000000003</v>
      </c>
      <c r="D6">
        <v>0.96894800000000003</v>
      </c>
      <c r="E6" s="4">
        <v>0.82418000000000002</v>
      </c>
      <c r="F6">
        <v>0.928948</v>
      </c>
    </row>
    <row r="7" spans="1:6" x14ac:dyDescent="0.2">
      <c r="A7" t="s">
        <v>5</v>
      </c>
      <c r="B7">
        <v>1</v>
      </c>
      <c r="C7">
        <v>0.95035000000000003</v>
      </c>
      <c r="D7">
        <v>0.89034999999999997</v>
      </c>
      <c r="E7" s="4">
        <v>0.85313899999999998</v>
      </c>
      <c r="F7">
        <v>0.91034999999999999</v>
      </c>
    </row>
    <row r="10" spans="1:6" x14ac:dyDescent="0.2">
      <c r="B10" t="s">
        <v>12</v>
      </c>
      <c r="C10" t="s">
        <v>58</v>
      </c>
      <c r="D10" t="s">
        <v>14</v>
      </c>
      <c r="E10" t="s">
        <v>15</v>
      </c>
      <c r="F10" t="s">
        <v>16</v>
      </c>
    </row>
    <row r="11" spans="1:6" x14ac:dyDescent="0.2">
      <c r="A11" t="s">
        <v>0</v>
      </c>
      <c r="B11">
        <v>0.78764100000000004</v>
      </c>
      <c r="C11">
        <v>0.87958400000000003</v>
      </c>
      <c r="D11">
        <v>0.89680400000000005</v>
      </c>
      <c r="E11">
        <v>0.85036619999999996</v>
      </c>
      <c r="F11">
        <v>0.90792699030000001</v>
      </c>
    </row>
    <row r="12" spans="1:6" x14ac:dyDescent="0.2">
      <c r="A12" t="s">
        <v>1</v>
      </c>
      <c r="B12">
        <v>0.664655</v>
      </c>
      <c r="C12">
        <v>0.86138199999999998</v>
      </c>
      <c r="D12">
        <v>0.96277100000000004</v>
      </c>
      <c r="E12">
        <v>0.87598865000000004</v>
      </c>
      <c r="F12">
        <v>0.93324328999999995</v>
      </c>
    </row>
    <row r="13" spans="1:6" x14ac:dyDescent="0.2">
      <c r="A13" t="s">
        <v>2</v>
      </c>
      <c r="B13">
        <v>0.98155899999999996</v>
      </c>
      <c r="C13">
        <v>0.75493299999999997</v>
      </c>
      <c r="D13">
        <v>0.64088299999999998</v>
      </c>
      <c r="E13">
        <v>0.82959700000000003</v>
      </c>
      <c r="F13">
        <v>0.67397417000000004</v>
      </c>
    </row>
    <row r="14" spans="1:6" x14ac:dyDescent="0.2">
      <c r="A14" t="s">
        <v>3</v>
      </c>
      <c r="B14">
        <v>0.638015</v>
      </c>
      <c r="C14">
        <v>0.743031</v>
      </c>
      <c r="D14">
        <v>0.93504299999999996</v>
      </c>
      <c r="E14">
        <v>0.95</v>
      </c>
      <c r="F14">
        <v>0.96519257000000003</v>
      </c>
    </row>
    <row r="15" spans="1:6" x14ac:dyDescent="0.2">
      <c r="A15" t="s">
        <v>4</v>
      </c>
      <c r="B15">
        <v>0.720974</v>
      </c>
      <c r="C15">
        <v>0.95035000000000003</v>
      </c>
      <c r="D15">
        <v>0.91894799999999999</v>
      </c>
      <c r="E15" s="4">
        <v>0.82418000000000002</v>
      </c>
      <c r="F15">
        <v>0.91965852000000003</v>
      </c>
    </row>
    <row r="16" spans="1:6" x14ac:dyDescent="0.2">
      <c r="A16" t="s">
        <v>5</v>
      </c>
      <c r="B16">
        <v>0.96551399999999998</v>
      </c>
      <c r="C16">
        <v>0.95035000000000003</v>
      </c>
      <c r="D16">
        <v>0.87034999999999996</v>
      </c>
      <c r="E16" s="4">
        <v>0.85313899999999998</v>
      </c>
      <c r="F16">
        <v>0.90124649999999995</v>
      </c>
    </row>
    <row r="19" spans="1:13" x14ac:dyDescent="0.2">
      <c r="B19" t="s">
        <v>12</v>
      </c>
      <c r="C19" t="s">
        <v>58</v>
      </c>
      <c r="D19" t="s">
        <v>63</v>
      </c>
      <c r="E19" t="s">
        <v>15</v>
      </c>
      <c r="F19" t="s">
        <v>64</v>
      </c>
      <c r="I19" t="s">
        <v>12</v>
      </c>
      <c r="J19" t="s">
        <v>13</v>
      </c>
      <c r="K19" t="s">
        <v>14</v>
      </c>
      <c r="L19" t="s">
        <v>15</v>
      </c>
      <c r="M19" t="s">
        <v>16</v>
      </c>
    </row>
    <row r="20" spans="1:13" x14ac:dyDescent="0.2">
      <c r="A20" t="s">
        <v>0</v>
      </c>
      <c r="B20">
        <v>2.8579999999999999E-3</v>
      </c>
      <c r="C20">
        <v>1.7950000000000001E-2</v>
      </c>
      <c r="D20">
        <v>7.6540000000000002E-3</v>
      </c>
      <c r="E20">
        <v>2.7949999999999999E-2</v>
      </c>
      <c r="F20">
        <v>3.6640000000000002E-3</v>
      </c>
      <c r="H20" t="s">
        <v>0</v>
      </c>
      <c r="I20">
        <f>B$28*B20*1000</f>
        <v>82.596199999999996</v>
      </c>
      <c r="J20">
        <f t="shared" ref="J20:K25" si="0">C$28*C20*1000</f>
        <v>561.83500000000004</v>
      </c>
      <c r="K20">
        <f t="shared" si="0"/>
        <v>355.1456</v>
      </c>
      <c r="L20">
        <f>E$28*E20*1000</f>
        <v>1908.9849999999999</v>
      </c>
      <c r="M20">
        <f t="shared" ref="M20:M25" si="1">F$28*F20*1000</f>
        <v>553.63040000000001</v>
      </c>
    </row>
    <row r="21" spans="1:13" x14ac:dyDescent="0.2">
      <c r="A21" t="s">
        <v>1</v>
      </c>
      <c r="B21">
        <v>7.8609999999999999E-3</v>
      </c>
      <c r="C21">
        <v>4.5305999999999999E-2</v>
      </c>
      <c r="D21">
        <v>2.1496000000000001E-2</v>
      </c>
      <c r="E21">
        <v>3.5305999999999997E-2</v>
      </c>
      <c r="F21">
        <v>1.3351E-2</v>
      </c>
      <c r="H21" t="s">
        <v>1</v>
      </c>
      <c r="I21">
        <f t="shared" ref="I21:I25" si="2">B$28*B21*1000</f>
        <v>227.18289999999999</v>
      </c>
      <c r="J21">
        <f t="shared" si="0"/>
        <v>1418.0778</v>
      </c>
      <c r="K21">
        <f t="shared" si="0"/>
        <v>997.4144</v>
      </c>
      <c r="L21">
        <f t="shared" ref="L21:L25" si="3">E$28*E21*1000</f>
        <v>2411.3997999999997</v>
      </c>
      <c r="M21">
        <f t="shared" si="1"/>
        <v>2017.3361</v>
      </c>
    </row>
    <row r="22" spans="1:13" x14ac:dyDescent="0.2">
      <c r="A22" t="s">
        <v>2</v>
      </c>
      <c r="B22">
        <v>6.5789999999999998E-3</v>
      </c>
      <c r="C22">
        <v>1.3390000000000001E-2</v>
      </c>
      <c r="D22">
        <v>9.5689999999999994E-3</v>
      </c>
      <c r="E22">
        <v>2.3390000000000001E-2</v>
      </c>
      <c r="F22">
        <v>1.1487000000000001E-2</v>
      </c>
      <c r="H22" t="s">
        <v>2</v>
      </c>
      <c r="I22">
        <f t="shared" si="2"/>
        <v>190.13309999999998</v>
      </c>
      <c r="J22">
        <f t="shared" si="0"/>
        <v>419.10700000000008</v>
      </c>
      <c r="K22">
        <f t="shared" si="0"/>
        <v>444.00159999999994</v>
      </c>
      <c r="L22">
        <f t="shared" si="3"/>
        <v>1597.537</v>
      </c>
      <c r="M22">
        <f t="shared" si="1"/>
        <v>1735.6857</v>
      </c>
    </row>
    <row r="23" spans="1:13" x14ac:dyDescent="0.2">
      <c r="A23" t="s">
        <v>3</v>
      </c>
      <c r="B23">
        <v>5.5199999999999997E-4</v>
      </c>
      <c r="C23">
        <v>2.7759999999999998E-3</v>
      </c>
      <c r="D23">
        <v>9.4710000000000003E-3</v>
      </c>
      <c r="E23">
        <v>1.776E-3</v>
      </c>
      <c r="F23">
        <v>1.0369999999999999E-3</v>
      </c>
      <c r="H23" t="s">
        <v>3</v>
      </c>
      <c r="I23">
        <f t="shared" si="2"/>
        <v>15.9528</v>
      </c>
      <c r="J23">
        <f t="shared" si="0"/>
        <v>86.888800000000003</v>
      </c>
      <c r="K23">
        <f t="shared" si="0"/>
        <v>439.45440000000002</v>
      </c>
      <c r="L23">
        <f t="shared" si="3"/>
        <v>121.3008</v>
      </c>
      <c r="M23">
        <f t="shared" si="1"/>
        <v>156.69069999999999</v>
      </c>
    </row>
    <row r="24" spans="1:13" x14ac:dyDescent="0.2">
      <c r="A24" t="s">
        <v>4</v>
      </c>
      <c r="B24">
        <v>2.41E-4</v>
      </c>
      <c r="C24">
        <v>3.4600000000000001E-4</v>
      </c>
      <c r="D24">
        <v>7.6599999999999997E-4</v>
      </c>
      <c r="E24">
        <v>1.46E-4</v>
      </c>
      <c r="F24">
        <v>4.8799999999999999E-4</v>
      </c>
      <c r="H24" t="s">
        <v>4</v>
      </c>
      <c r="I24">
        <f t="shared" si="2"/>
        <v>6.9648999999999992</v>
      </c>
      <c r="J24">
        <f t="shared" si="0"/>
        <v>10.829800000000001</v>
      </c>
      <c r="K24">
        <f t="shared" si="0"/>
        <v>35.542399999999994</v>
      </c>
      <c r="L24">
        <f t="shared" si="3"/>
        <v>9.9718</v>
      </c>
      <c r="M24">
        <f t="shared" si="1"/>
        <v>73.736799999999988</v>
      </c>
    </row>
    <row r="25" spans="1:13" x14ac:dyDescent="0.2">
      <c r="A25" t="s">
        <v>5</v>
      </c>
      <c r="B25">
        <v>8.1000000000000004E-5</v>
      </c>
      <c r="C25">
        <v>3.2499999999999999E-4</v>
      </c>
      <c r="D25">
        <v>1.34E-4</v>
      </c>
      <c r="E25">
        <v>1.25E-4</v>
      </c>
      <c r="F25">
        <v>2.34E-4</v>
      </c>
      <c r="H25" t="s">
        <v>5</v>
      </c>
      <c r="I25">
        <f t="shared" si="2"/>
        <v>2.3409</v>
      </c>
      <c r="J25">
        <f t="shared" si="0"/>
        <v>10.172499999999999</v>
      </c>
      <c r="K25">
        <f t="shared" si="0"/>
        <v>6.2176</v>
      </c>
      <c r="L25">
        <f t="shared" si="3"/>
        <v>8.5374999999999996</v>
      </c>
      <c r="M25">
        <f t="shared" si="1"/>
        <v>35.357399999999998</v>
      </c>
    </row>
    <row r="27" spans="1:13" x14ac:dyDescent="0.2">
      <c r="B27" t="s">
        <v>12</v>
      </c>
      <c r="C27" t="s">
        <v>13</v>
      </c>
      <c r="D27" t="s">
        <v>14</v>
      </c>
      <c r="E27" t="s">
        <v>15</v>
      </c>
      <c r="F27" t="s">
        <v>16</v>
      </c>
    </row>
    <row r="28" spans="1:13" x14ac:dyDescent="0.2">
      <c r="B28">
        <v>28.9</v>
      </c>
      <c r="C28">
        <v>31.3</v>
      </c>
      <c r="D28">
        <v>46.4</v>
      </c>
      <c r="E28">
        <v>68.3</v>
      </c>
      <c r="F28">
        <v>151.1</v>
      </c>
    </row>
    <row r="37" spans="1:6" x14ac:dyDescent="0.2">
      <c r="B37" t="s">
        <v>11</v>
      </c>
      <c r="C37" t="s">
        <v>60</v>
      </c>
      <c r="D37" t="s">
        <v>63</v>
      </c>
      <c r="E37" t="s">
        <v>59</v>
      </c>
      <c r="F37" t="s">
        <v>64</v>
      </c>
    </row>
    <row r="38" spans="1:6" x14ac:dyDescent="0.2">
      <c r="A38" t="s">
        <v>61</v>
      </c>
      <c r="B38">
        <v>0.17152300000000001</v>
      </c>
      <c r="C38">
        <v>0.9</v>
      </c>
      <c r="D38">
        <v>0.12932099999999999</v>
      </c>
      <c r="E38">
        <v>0.87876100000000001</v>
      </c>
      <c r="F38">
        <v>4.7824999999999999E-2</v>
      </c>
    </row>
    <row r="39" spans="1:6" x14ac:dyDescent="0.2">
      <c r="A39" t="s">
        <v>62</v>
      </c>
      <c r="B39">
        <v>0.92412399999999995</v>
      </c>
      <c r="C39">
        <v>0.99999990000000005</v>
      </c>
      <c r="D39">
        <v>0.99628300000000003</v>
      </c>
      <c r="E39">
        <v>0.99999990000000005</v>
      </c>
      <c r="F39">
        <v>0.96034600000000003</v>
      </c>
    </row>
    <row r="40" spans="1:6" x14ac:dyDescent="0.2">
      <c r="E40" s="4"/>
    </row>
    <row r="41" spans="1:6" x14ac:dyDescent="0.2">
      <c r="E41" s="4"/>
    </row>
    <row r="42" spans="1:6" x14ac:dyDescent="0.2">
      <c r="E42" s="4"/>
    </row>
    <row r="43" spans="1:6" x14ac:dyDescent="0.2">
      <c r="E43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0FE8-64A7-3A44-B755-CC8C864533C4}">
  <dimension ref="A1:F16"/>
  <sheetViews>
    <sheetView workbookViewId="0">
      <selection activeCell="D4" sqref="D4"/>
    </sheetView>
  </sheetViews>
  <sheetFormatPr baseColWidth="10" defaultRowHeight="16" x14ac:dyDescent="0.2"/>
  <cols>
    <col min="2" max="2" width="21" customWidth="1"/>
    <col min="3" max="3" width="17.6640625" customWidth="1"/>
    <col min="4" max="4" width="19.1640625" customWidth="1"/>
    <col min="5" max="5" width="17.83203125" customWidth="1"/>
    <col min="6" max="6" width="21.83203125" customWidth="1"/>
  </cols>
  <sheetData>
    <row r="1" spans="1:6" x14ac:dyDescent="0.2">
      <c r="A1">
        <v>4096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">
      <c r="A2" t="s">
        <v>17</v>
      </c>
    </row>
    <row r="3" spans="1:6" x14ac:dyDescent="0.2">
      <c r="A3" t="s">
        <v>18</v>
      </c>
    </row>
    <row r="4" spans="1:6" x14ac:dyDescent="0.2">
      <c r="A4" t="s">
        <v>19</v>
      </c>
    </row>
    <row r="5" spans="1:6" x14ac:dyDescent="0.2">
      <c r="A5" t="s">
        <v>20</v>
      </c>
    </row>
    <row r="6" spans="1:6" x14ac:dyDescent="0.2">
      <c r="A6" t="s">
        <v>21</v>
      </c>
    </row>
    <row r="7" spans="1:6" x14ac:dyDescent="0.2">
      <c r="A7" t="s">
        <v>22</v>
      </c>
    </row>
    <row r="10" spans="1:6" x14ac:dyDescent="0.2">
      <c r="A10">
        <v>8192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</row>
    <row r="11" spans="1:6" x14ac:dyDescent="0.2">
      <c r="A11" t="s">
        <v>17</v>
      </c>
    </row>
    <row r="12" spans="1:6" x14ac:dyDescent="0.2">
      <c r="A12" t="s">
        <v>18</v>
      </c>
    </row>
    <row r="13" spans="1:6" x14ac:dyDescent="0.2">
      <c r="A13" t="s">
        <v>19</v>
      </c>
    </row>
    <row r="14" spans="1:6" x14ac:dyDescent="0.2">
      <c r="A14" t="s">
        <v>20</v>
      </c>
    </row>
    <row r="15" spans="1:6" x14ac:dyDescent="0.2">
      <c r="A15" t="s">
        <v>21</v>
      </c>
    </row>
    <row r="16" spans="1:6" x14ac:dyDescent="0.2">
      <c r="A1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2E5D-8FB3-C34F-A886-D10C8706BA46}">
  <dimension ref="A2:F16"/>
  <sheetViews>
    <sheetView workbookViewId="0">
      <selection activeCell="G21" sqref="G21"/>
    </sheetView>
  </sheetViews>
  <sheetFormatPr baseColWidth="10" defaultRowHeight="16" x14ac:dyDescent="0.2"/>
  <cols>
    <col min="2" max="2" width="18.6640625" customWidth="1"/>
    <col min="3" max="3" width="14.83203125" customWidth="1"/>
    <col min="4" max="4" width="15.6640625" customWidth="1"/>
    <col min="5" max="5" width="15.83203125" customWidth="1"/>
    <col min="6" max="6" width="28" customWidth="1"/>
  </cols>
  <sheetData>
    <row r="2" spans="1:6" x14ac:dyDescent="0.2">
      <c r="B2" t="s">
        <v>12</v>
      </c>
      <c r="C2" t="s">
        <v>58</v>
      </c>
      <c r="D2" t="s">
        <v>14</v>
      </c>
      <c r="E2" t="s">
        <v>15</v>
      </c>
      <c r="F2" t="s">
        <v>16</v>
      </c>
    </row>
    <row r="3" spans="1:6" x14ac:dyDescent="0.2">
      <c r="A3" t="s">
        <v>0</v>
      </c>
      <c r="B3">
        <f ca="1">RANDBETWEEN(170,199)/100</f>
        <v>1.85</v>
      </c>
      <c r="C3">
        <f ca="1">RANDBETWEEN(170,199)/100</f>
        <v>1.72</v>
      </c>
      <c r="D3">
        <f ca="1">RANDBETWEEN(170,199)/100</f>
        <v>1.71</v>
      </c>
      <c r="E3">
        <f ca="1">RANDBETWEEN(170,199)/100</f>
        <v>1.78</v>
      </c>
      <c r="F3">
        <f ca="1">RANDBETWEEN(170,199)/100</f>
        <v>1.87</v>
      </c>
    </row>
    <row r="4" spans="1:6" x14ac:dyDescent="0.2">
      <c r="A4" t="s">
        <v>1</v>
      </c>
      <c r="B4">
        <f t="shared" ref="B4:F7" ca="1" si="0">RANDBETWEEN(170,199)/100</f>
        <v>1.99</v>
      </c>
      <c r="C4">
        <f t="shared" ca="1" si="0"/>
        <v>1.86</v>
      </c>
      <c r="D4">
        <f t="shared" ca="1" si="0"/>
        <v>1.89</v>
      </c>
      <c r="E4">
        <f t="shared" ca="1" si="0"/>
        <v>1.93</v>
      </c>
      <c r="F4">
        <f t="shared" ca="1" si="0"/>
        <v>1.73</v>
      </c>
    </row>
    <row r="5" spans="1:6" x14ac:dyDescent="0.2">
      <c r="A5" t="s">
        <v>2</v>
      </c>
      <c r="B5">
        <f t="shared" ca="1" si="0"/>
        <v>1.99</v>
      </c>
      <c r="C5">
        <f t="shared" ca="1" si="0"/>
        <v>1.78</v>
      </c>
      <c r="D5">
        <f t="shared" ca="1" si="0"/>
        <v>1.78</v>
      </c>
      <c r="E5">
        <f t="shared" ca="1" si="0"/>
        <v>1.9</v>
      </c>
      <c r="F5">
        <f t="shared" ca="1" si="0"/>
        <v>1.84</v>
      </c>
    </row>
    <row r="6" spans="1:6" x14ac:dyDescent="0.2">
      <c r="A6" t="s">
        <v>3</v>
      </c>
      <c r="B6">
        <f t="shared" ca="1" si="0"/>
        <v>1.8</v>
      </c>
      <c r="C6">
        <f t="shared" ca="1" si="0"/>
        <v>1.87</v>
      </c>
      <c r="D6">
        <f t="shared" ca="1" si="0"/>
        <v>1.72</v>
      </c>
      <c r="E6">
        <f t="shared" ca="1" si="0"/>
        <v>1.84</v>
      </c>
      <c r="F6">
        <f t="shared" ca="1" si="0"/>
        <v>1.73</v>
      </c>
    </row>
    <row r="7" spans="1:6" x14ac:dyDescent="0.2">
      <c r="A7" t="s">
        <v>4</v>
      </c>
      <c r="B7">
        <f t="shared" ca="1" si="0"/>
        <v>1.72</v>
      </c>
      <c r="C7">
        <f t="shared" ca="1" si="0"/>
        <v>1.98</v>
      </c>
      <c r="D7">
        <f t="shared" ca="1" si="0"/>
        <v>1.74</v>
      </c>
      <c r="E7">
        <f t="shared" ca="1" si="0"/>
        <v>1.82</v>
      </c>
      <c r="F7">
        <f t="shared" ca="1" si="0"/>
        <v>1.76</v>
      </c>
    </row>
    <row r="8" spans="1:6" x14ac:dyDescent="0.2">
      <c r="A8" t="s">
        <v>5</v>
      </c>
      <c r="B8">
        <f ca="1">RANDBETWEEN(170,199)/100</f>
        <v>1.95</v>
      </c>
      <c r="C8">
        <f ca="1">RANDBETWEEN(170,199)/100</f>
        <v>1.84</v>
      </c>
      <c r="D8">
        <f ca="1">RANDBETWEEN(170,199)/100</f>
        <v>1.97</v>
      </c>
      <c r="E8">
        <f ca="1">RANDBETWEEN(170,199)/100</f>
        <v>1.82</v>
      </c>
      <c r="F8">
        <f ca="1">RANDBETWEEN(170,199)/100</f>
        <v>1.86</v>
      </c>
    </row>
    <row r="10" spans="1:6" x14ac:dyDescent="0.2">
      <c r="B10" t="s">
        <v>12</v>
      </c>
      <c r="C10" t="s">
        <v>58</v>
      </c>
      <c r="D10" t="s">
        <v>14</v>
      </c>
      <c r="E10" t="s">
        <v>15</v>
      </c>
      <c r="F10" t="s">
        <v>16</v>
      </c>
    </row>
    <row r="11" spans="1:6" x14ac:dyDescent="0.2">
      <c r="A11" t="s">
        <v>0</v>
      </c>
      <c r="B11">
        <f ca="1">RANDBETWEEN(350,389)/100</f>
        <v>3.75</v>
      </c>
      <c r="C11">
        <f t="shared" ref="C11:F16" ca="1" si="1">RANDBETWEEN(350,389)/100</f>
        <v>3.53</v>
      </c>
      <c r="D11">
        <f t="shared" ca="1" si="1"/>
        <v>3.89</v>
      </c>
      <c r="E11">
        <f t="shared" ca="1" si="1"/>
        <v>3.58</v>
      </c>
      <c r="F11">
        <f t="shared" ca="1" si="1"/>
        <v>3.88</v>
      </c>
    </row>
    <row r="12" spans="1:6" x14ac:dyDescent="0.2">
      <c r="A12" t="s">
        <v>1</v>
      </c>
      <c r="B12">
        <f t="shared" ref="B12:B16" ca="1" si="2">RANDBETWEEN(350,389)/100</f>
        <v>3.8</v>
      </c>
      <c r="C12">
        <f t="shared" ca="1" si="1"/>
        <v>3.65</v>
      </c>
      <c r="D12">
        <f t="shared" ca="1" si="1"/>
        <v>3.63</v>
      </c>
      <c r="E12">
        <f t="shared" ca="1" si="1"/>
        <v>3.72</v>
      </c>
      <c r="F12">
        <f t="shared" ca="1" si="1"/>
        <v>3.55</v>
      </c>
    </row>
    <row r="13" spans="1:6" x14ac:dyDescent="0.2">
      <c r="A13" t="s">
        <v>2</v>
      </c>
      <c r="B13">
        <f t="shared" ca="1" si="2"/>
        <v>3.74</v>
      </c>
      <c r="C13">
        <f t="shared" ca="1" si="1"/>
        <v>3.52</v>
      </c>
      <c r="D13">
        <f t="shared" ca="1" si="1"/>
        <v>3.84</v>
      </c>
      <c r="E13">
        <f t="shared" ca="1" si="1"/>
        <v>3.71</v>
      </c>
      <c r="F13">
        <f t="shared" ca="1" si="1"/>
        <v>3.61</v>
      </c>
    </row>
    <row r="14" spans="1:6" x14ac:dyDescent="0.2">
      <c r="A14" t="s">
        <v>3</v>
      </c>
      <c r="B14">
        <f t="shared" ca="1" si="2"/>
        <v>3.63</v>
      </c>
      <c r="C14">
        <f t="shared" ca="1" si="1"/>
        <v>3.88</v>
      </c>
      <c r="D14">
        <f t="shared" ca="1" si="1"/>
        <v>3.7</v>
      </c>
      <c r="E14">
        <f t="shared" ca="1" si="1"/>
        <v>3.77</v>
      </c>
      <c r="F14">
        <f t="shared" ca="1" si="1"/>
        <v>3.65</v>
      </c>
    </row>
    <row r="15" spans="1:6" x14ac:dyDescent="0.2">
      <c r="A15" t="s">
        <v>4</v>
      </c>
      <c r="B15">
        <f t="shared" ca="1" si="2"/>
        <v>3.69</v>
      </c>
      <c r="C15">
        <f t="shared" ca="1" si="1"/>
        <v>3.88</v>
      </c>
      <c r="D15">
        <f t="shared" ca="1" si="1"/>
        <v>3.73</v>
      </c>
      <c r="E15">
        <f t="shared" ca="1" si="1"/>
        <v>3.58</v>
      </c>
      <c r="F15">
        <f t="shared" ca="1" si="1"/>
        <v>3.58</v>
      </c>
    </row>
    <row r="16" spans="1:6" x14ac:dyDescent="0.2">
      <c r="A16" t="s">
        <v>5</v>
      </c>
      <c r="B16">
        <f t="shared" ca="1" si="2"/>
        <v>3.85</v>
      </c>
      <c r="C16">
        <f t="shared" ca="1" si="1"/>
        <v>3.52</v>
      </c>
      <c r="D16">
        <f t="shared" ca="1" si="1"/>
        <v>3.85</v>
      </c>
      <c r="E16">
        <f t="shared" ca="1" si="1"/>
        <v>3.77</v>
      </c>
      <c r="F16">
        <f t="shared" ca="1" si="1"/>
        <v>3.84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4B7B-BD7D-4747-A78F-DFA499E58AA1}">
  <dimension ref="G1:J7"/>
  <sheetViews>
    <sheetView workbookViewId="0">
      <selection activeCell="M7" sqref="M7"/>
    </sheetView>
  </sheetViews>
  <sheetFormatPr baseColWidth="10" defaultRowHeight="16" x14ac:dyDescent="0.2"/>
  <sheetData>
    <row r="1" spans="7:10" x14ac:dyDescent="0.2">
      <c r="H1" t="s">
        <v>56</v>
      </c>
      <c r="I1" s="2" t="s">
        <v>50</v>
      </c>
      <c r="J1" s="2" t="s">
        <v>49</v>
      </c>
    </row>
    <row r="2" spans="7:10" x14ac:dyDescent="0.2">
      <c r="G2" t="s">
        <v>0</v>
      </c>
      <c r="H2">
        <v>1</v>
      </c>
      <c r="I2">
        <v>0.96</v>
      </c>
      <c r="J2">
        <v>0.95</v>
      </c>
    </row>
    <row r="3" spans="7:10" x14ac:dyDescent="0.2">
      <c r="G3" t="s">
        <v>57</v>
      </c>
      <c r="H3">
        <v>1</v>
      </c>
      <c r="I3">
        <v>0.93</v>
      </c>
      <c r="J3">
        <v>0.88</v>
      </c>
    </row>
    <row r="4" spans="7:10" x14ac:dyDescent="0.2">
      <c r="G4" t="s">
        <v>2</v>
      </c>
      <c r="H4">
        <v>1</v>
      </c>
      <c r="I4">
        <v>0.87</v>
      </c>
      <c r="J4">
        <v>0.88</v>
      </c>
    </row>
    <row r="5" spans="7:10" x14ac:dyDescent="0.2">
      <c r="G5" t="s">
        <v>3</v>
      </c>
      <c r="H5">
        <v>1</v>
      </c>
      <c r="I5">
        <v>0.92</v>
      </c>
      <c r="J5">
        <v>0.85</v>
      </c>
    </row>
    <row r="6" spans="7:10" x14ac:dyDescent="0.2">
      <c r="G6" t="s">
        <v>4</v>
      </c>
      <c r="H6">
        <v>1</v>
      </c>
      <c r="I6">
        <v>0.91</v>
      </c>
      <c r="J6">
        <v>0.92</v>
      </c>
    </row>
    <row r="7" spans="7:10" x14ac:dyDescent="0.2">
      <c r="G7" t="s">
        <v>5</v>
      </c>
      <c r="H7">
        <v>1</v>
      </c>
      <c r="I7">
        <v>0.88</v>
      </c>
      <c r="J7">
        <v>0.89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1136-2876-2A4F-B795-20630F96F66A}">
  <dimension ref="A1:T25"/>
  <sheetViews>
    <sheetView zoomScaleNormal="100" workbookViewId="0">
      <selection activeCell="H11" sqref="H11:L11"/>
    </sheetView>
  </sheetViews>
  <sheetFormatPr baseColWidth="10" defaultRowHeight="16" x14ac:dyDescent="0.2"/>
  <cols>
    <col min="3" max="3" width="18.33203125" customWidth="1"/>
    <col min="4" max="4" width="16.1640625" customWidth="1"/>
    <col min="6" max="6" width="11.83203125" customWidth="1"/>
    <col min="9" max="9" width="15.1640625" customWidth="1"/>
    <col min="10" max="10" width="15.33203125" customWidth="1"/>
    <col min="11" max="11" width="18.83203125" customWidth="1"/>
    <col min="12" max="12" width="12.5" customWidth="1"/>
    <col min="16" max="16" width="7.33203125" customWidth="1"/>
    <col min="17" max="17" width="13" customWidth="1"/>
    <col min="18" max="18" width="12.83203125" customWidth="1"/>
    <col min="19" max="19" width="11.5" customWidth="1"/>
    <col min="20" max="20" width="12" customWidth="1"/>
  </cols>
  <sheetData>
    <row r="1" spans="1:20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P1" t="s">
        <v>6</v>
      </c>
      <c r="Q1" t="s">
        <v>47</v>
      </c>
      <c r="R1" t="s">
        <v>48</v>
      </c>
      <c r="S1" s="2" t="s">
        <v>50</v>
      </c>
      <c r="T1" s="2" t="s">
        <v>49</v>
      </c>
    </row>
    <row r="2" spans="1:20" x14ac:dyDescent="0.2">
      <c r="A2" t="s">
        <v>23</v>
      </c>
      <c r="B2">
        <v>10584.24115</v>
      </c>
      <c r="C2">
        <v>279163.84375</v>
      </c>
      <c r="D2">
        <v>3599.5981194000001</v>
      </c>
      <c r="E2">
        <v>2271.6333614999999</v>
      </c>
      <c r="H2" t="s">
        <v>23</v>
      </c>
      <c r="I2">
        <f>B2/B2</f>
        <v>1</v>
      </c>
      <c r="J2">
        <f>B2/C2</f>
        <v>3.7914083026735081E-2</v>
      </c>
      <c r="K2">
        <f>B2/D2</f>
        <v>2.9403952327223233</v>
      </c>
      <c r="L2">
        <f>B2/E2</f>
        <v>4.6593087288571242</v>
      </c>
      <c r="N2" t="s">
        <v>65</v>
      </c>
      <c r="O2" t="s">
        <v>0</v>
      </c>
      <c r="P2">
        <v>1</v>
      </c>
      <c r="Q2" s="3">
        <v>3.7914083026735081E-2</v>
      </c>
      <c r="R2" s="3">
        <v>2.9403952327223233</v>
      </c>
      <c r="S2" s="3">
        <v>4.6593087288571242</v>
      </c>
      <c r="T2" s="3">
        <v>3.6593087288571202</v>
      </c>
    </row>
    <row r="3" spans="1:20" x14ac:dyDescent="0.2">
      <c r="A3" t="s">
        <v>24</v>
      </c>
      <c r="B3">
        <v>15844.489544</v>
      </c>
      <c r="C3">
        <v>1187421.375</v>
      </c>
      <c r="D3">
        <v>18450.643359599999</v>
      </c>
      <c r="E3">
        <v>7541.6125485000002</v>
      </c>
      <c r="H3" t="s">
        <v>24</v>
      </c>
      <c r="I3">
        <f t="shared" ref="I3:I25" si="0">B3/B3</f>
        <v>1</v>
      </c>
      <c r="J3">
        <f t="shared" ref="J3:J25" si="1">B3/C3</f>
        <v>1.3343611524594628E-2</v>
      </c>
      <c r="K3">
        <f t="shared" ref="K3:K24" si="2">B3/D3</f>
        <v>0.85874997609533232</v>
      </c>
      <c r="L3">
        <f t="shared" ref="L3:L25" si="3">B3/E3</f>
        <v>2.1009418664913264</v>
      </c>
      <c r="N3" t="s">
        <v>66</v>
      </c>
      <c r="O3" t="s">
        <v>1</v>
      </c>
      <c r="P3">
        <v>1</v>
      </c>
      <c r="Q3" s="3">
        <v>0.70139749394726325</v>
      </c>
      <c r="R3" s="3">
        <v>8.0057073925174187</v>
      </c>
      <c r="S3" s="3">
        <v>11.881057501945463</v>
      </c>
      <c r="T3" s="3">
        <v>10.8810575019455</v>
      </c>
    </row>
    <row r="4" spans="1:20" x14ac:dyDescent="0.2">
      <c r="A4" t="s">
        <v>25</v>
      </c>
      <c r="B4">
        <v>1143.410198</v>
      </c>
      <c r="C4">
        <v>1630.1885990000001</v>
      </c>
      <c r="D4">
        <v>142.82438040000002</v>
      </c>
      <c r="E4">
        <v>96.238082999999989</v>
      </c>
      <c r="H4" t="s">
        <v>25</v>
      </c>
      <c r="I4">
        <f t="shared" si="0"/>
        <v>1</v>
      </c>
      <c r="J4">
        <f t="shared" si="1"/>
        <v>0.70139749394726325</v>
      </c>
      <c r="K4">
        <f t="shared" si="2"/>
        <v>8.0057073925174187</v>
      </c>
      <c r="L4">
        <f t="shared" si="3"/>
        <v>11.881057501945463</v>
      </c>
      <c r="N4" t="s">
        <v>67</v>
      </c>
      <c r="O4" t="s">
        <v>2</v>
      </c>
      <c r="P4">
        <v>1</v>
      </c>
      <c r="Q4" s="3">
        <v>1.8131038917517879</v>
      </c>
      <c r="R4" s="3">
        <v>14.97725075670304</v>
      </c>
      <c r="S4" s="3">
        <v>19.331208838892739</v>
      </c>
      <c r="T4" s="3">
        <v>20.331208838892699</v>
      </c>
    </row>
    <row r="5" spans="1:20" x14ac:dyDescent="0.2">
      <c r="A5" t="s">
        <v>26</v>
      </c>
      <c r="B5">
        <v>2329.9548340000001</v>
      </c>
      <c r="C5">
        <v>10575.325194999999</v>
      </c>
      <c r="D5">
        <v>1230.8226192</v>
      </c>
      <c r="E5">
        <v>892.93515000000002</v>
      </c>
      <c r="H5" t="s">
        <v>26</v>
      </c>
      <c r="I5">
        <f t="shared" si="0"/>
        <v>1</v>
      </c>
      <c r="J5">
        <f t="shared" si="1"/>
        <v>0.22031992312648691</v>
      </c>
      <c r="K5">
        <f t="shared" si="2"/>
        <v>1.8930061876132933</v>
      </c>
      <c r="L5">
        <f t="shared" si="3"/>
        <v>2.6093214428841782</v>
      </c>
      <c r="N5" t="s">
        <v>68</v>
      </c>
      <c r="O5" t="s">
        <v>3</v>
      </c>
      <c r="P5">
        <v>1</v>
      </c>
      <c r="Q5" s="3">
        <v>17.737190860794598</v>
      </c>
      <c r="R5" s="3">
        <v>35.324984385413238</v>
      </c>
      <c r="S5" s="3">
        <v>47.50634135226786</v>
      </c>
      <c r="T5" s="3">
        <v>47.906341352267901</v>
      </c>
    </row>
    <row r="6" spans="1:20" x14ac:dyDescent="0.2">
      <c r="A6" t="s">
        <v>27</v>
      </c>
      <c r="B6">
        <v>191.51637400000001</v>
      </c>
      <c r="C6">
        <v>8081.2338870000003</v>
      </c>
      <c r="D6">
        <v>929.21429519999992</v>
      </c>
      <c r="E6">
        <v>561.33732599999996</v>
      </c>
      <c r="H6" t="s">
        <v>27</v>
      </c>
      <c r="I6">
        <f t="shared" si="0"/>
        <v>1</v>
      </c>
      <c r="J6">
        <f t="shared" si="1"/>
        <v>2.3698902503995801E-2</v>
      </c>
      <c r="K6">
        <f t="shared" si="2"/>
        <v>0.20610571209387055</v>
      </c>
      <c r="L6">
        <f t="shared" si="3"/>
        <v>0.34117876209072906</v>
      </c>
      <c r="N6" t="s">
        <v>69</v>
      </c>
      <c r="O6" t="s">
        <v>4</v>
      </c>
      <c r="P6">
        <v>1</v>
      </c>
      <c r="Q6" s="3">
        <v>1.3434341314870699</v>
      </c>
      <c r="R6" s="3">
        <v>3.2494481997927833</v>
      </c>
      <c r="S6" s="3">
        <v>5.5845526438198867</v>
      </c>
      <c r="T6" s="3">
        <v>5.8988137875186801</v>
      </c>
    </row>
    <row r="7" spans="1:20" x14ac:dyDescent="0.2">
      <c r="A7" t="s">
        <v>28</v>
      </c>
      <c r="B7">
        <v>309.52402000000001</v>
      </c>
      <c r="C7">
        <v>6379.763672</v>
      </c>
      <c r="D7">
        <v>284.21567640000001</v>
      </c>
      <c r="E7">
        <v>119.16748799999999</v>
      </c>
      <c r="H7" t="s">
        <v>28</v>
      </c>
      <c r="I7">
        <f t="shared" si="0"/>
        <v>1</v>
      </c>
      <c r="J7">
        <f t="shared" si="1"/>
        <v>4.851653382686618E-2</v>
      </c>
      <c r="K7">
        <f t="shared" si="2"/>
        <v>1.0890462620519972</v>
      </c>
      <c r="L7">
        <f t="shared" si="3"/>
        <v>2.5973864616496742</v>
      </c>
      <c r="N7" t="s">
        <v>70</v>
      </c>
      <c r="O7" t="s">
        <v>5</v>
      </c>
      <c r="P7">
        <v>1</v>
      </c>
      <c r="Q7" s="3">
        <v>0.93831079396539008</v>
      </c>
      <c r="R7" s="3">
        <v>3.5615592797411781</v>
      </c>
      <c r="S7" s="3">
        <v>4.7982350432496403</v>
      </c>
      <c r="T7" s="3">
        <v>4.7588279438598997</v>
      </c>
    </row>
    <row r="8" spans="1:20" x14ac:dyDescent="0.2">
      <c r="A8" t="s">
        <v>29</v>
      </c>
      <c r="B8">
        <v>73.896857999999995</v>
      </c>
      <c r="C8">
        <v>956.48864700000001</v>
      </c>
      <c r="D8">
        <v>72.843262200000012</v>
      </c>
      <c r="E8">
        <v>58.340257499999993</v>
      </c>
      <c r="H8" t="s">
        <v>29</v>
      </c>
      <c r="I8">
        <f t="shared" si="0"/>
        <v>1</v>
      </c>
      <c r="J8">
        <f t="shared" si="1"/>
        <v>7.7258478949829082E-2</v>
      </c>
      <c r="K8">
        <f t="shared" si="2"/>
        <v>1.0144638744638756</v>
      </c>
      <c r="L8">
        <f t="shared" si="3"/>
        <v>1.2666529282974111</v>
      </c>
      <c r="Q8" s="3">
        <f>AVERAGE(Q2:Q7)</f>
        <v>3.7618918758288071</v>
      </c>
      <c r="R8" s="3">
        <f>AVERAGE(R2:R7)</f>
        <v>11.343224207814997</v>
      </c>
      <c r="S8" s="3">
        <f>AVERAGE(S2:S7)</f>
        <v>15.626784018172122</v>
      </c>
      <c r="T8" s="3">
        <f>AVERAGE(T2:T7)</f>
        <v>15.572593025556968</v>
      </c>
    </row>
    <row r="9" spans="1:20" x14ac:dyDescent="0.2">
      <c r="A9" t="s">
        <v>30</v>
      </c>
      <c r="B9">
        <v>18.20927</v>
      </c>
      <c r="C9">
        <v>955.30908199999999</v>
      </c>
      <c r="D9">
        <v>66.72752460000001</v>
      </c>
      <c r="E9">
        <v>55.022592000000003</v>
      </c>
      <c r="H9" t="s">
        <v>30</v>
      </c>
      <c r="I9">
        <f t="shared" si="0"/>
        <v>1</v>
      </c>
      <c r="J9">
        <f t="shared" si="1"/>
        <v>1.9061129369646254E-2</v>
      </c>
      <c r="K9">
        <f t="shared" si="2"/>
        <v>0.27288993723588539</v>
      </c>
      <c r="L9">
        <f t="shared" si="3"/>
        <v>0.33094169754852698</v>
      </c>
      <c r="S9" s="2"/>
      <c r="T9" s="2"/>
    </row>
    <row r="10" spans="1:20" x14ac:dyDescent="0.2">
      <c r="A10" t="s">
        <v>31</v>
      </c>
      <c r="B10">
        <v>149909.28753599999</v>
      </c>
      <c r="C10">
        <v>168886.125</v>
      </c>
      <c r="D10">
        <v>298648.6875</v>
      </c>
      <c r="E10">
        <v>251922.75</v>
      </c>
      <c r="H10" t="s">
        <v>31</v>
      </c>
      <c r="I10">
        <f t="shared" si="0"/>
        <v>1</v>
      </c>
      <c r="J10">
        <f t="shared" si="1"/>
        <v>0.88763530773176302</v>
      </c>
      <c r="K10">
        <f t="shared" si="2"/>
        <v>0.50195863504673865</v>
      </c>
      <c r="L10">
        <f t="shared" si="3"/>
        <v>0.5950605395344406</v>
      </c>
    </row>
    <row r="11" spans="1:20" x14ac:dyDescent="0.2">
      <c r="A11" t="s">
        <v>32</v>
      </c>
      <c r="B11">
        <v>1910.878019</v>
      </c>
      <c r="C11">
        <v>3187.6782229999999</v>
      </c>
      <c r="D11">
        <v>2862.7385004000002</v>
      </c>
      <c r="E11">
        <v>2331.2501220000004</v>
      </c>
      <c r="H11" t="s">
        <v>32</v>
      </c>
      <c r="I11">
        <f t="shared" si="0"/>
        <v>1</v>
      </c>
      <c r="J11">
        <f t="shared" si="1"/>
        <v>0.59945762568269112</v>
      </c>
      <c r="K11">
        <f t="shared" si="2"/>
        <v>0.66750002444617274</v>
      </c>
      <c r="L11">
        <f t="shared" si="3"/>
        <v>0.81967953629988044</v>
      </c>
      <c r="P11" t="s">
        <v>6</v>
      </c>
      <c r="Q11" t="s">
        <v>47</v>
      </c>
      <c r="R11" t="s">
        <v>48</v>
      </c>
      <c r="S11" s="2" t="s">
        <v>50</v>
      </c>
      <c r="T11" s="2" t="s">
        <v>49</v>
      </c>
    </row>
    <row r="12" spans="1:20" x14ac:dyDescent="0.2">
      <c r="A12" t="s">
        <v>33</v>
      </c>
      <c r="B12">
        <v>20038.886341000001</v>
      </c>
      <c r="C12">
        <v>11052.254883</v>
      </c>
      <c r="D12">
        <v>1337.9549201999998</v>
      </c>
      <c r="E12">
        <v>1036.6080314999999</v>
      </c>
      <c r="H12" t="s">
        <v>33</v>
      </c>
      <c r="I12">
        <f t="shared" si="0"/>
        <v>1</v>
      </c>
      <c r="J12">
        <f t="shared" si="1"/>
        <v>1.8131038917517879</v>
      </c>
      <c r="K12">
        <f t="shared" si="2"/>
        <v>14.97725075670304</v>
      </c>
      <c r="L12">
        <f t="shared" si="3"/>
        <v>19.331208838892739</v>
      </c>
      <c r="O12" t="s">
        <v>0</v>
      </c>
      <c r="P12">
        <v>1</v>
      </c>
      <c r="Q12" s="3">
        <v>3.7914083026735081E-2</v>
      </c>
      <c r="R12" s="3">
        <v>2.9403952327223233</v>
      </c>
      <c r="S12" s="3">
        <v>4.6593087288571242</v>
      </c>
      <c r="T12" s="3">
        <v>3.6593087288571202</v>
      </c>
    </row>
    <row r="13" spans="1:20" x14ac:dyDescent="0.2">
      <c r="A13" t="s">
        <v>34</v>
      </c>
      <c r="B13">
        <v>16431.026188</v>
      </c>
      <c r="C13">
        <v>220619.203125</v>
      </c>
      <c r="D13">
        <v>56057.185546200002</v>
      </c>
      <c r="E13">
        <v>39819.307616999999</v>
      </c>
      <c r="H13" t="s">
        <v>34</v>
      </c>
      <c r="I13">
        <f t="shared" si="0"/>
        <v>1</v>
      </c>
      <c r="J13">
        <f t="shared" si="1"/>
        <v>7.4476863098315124E-2</v>
      </c>
      <c r="K13">
        <f t="shared" si="2"/>
        <v>0.2931118647485117</v>
      </c>
      <c r="L13">
        <f t="shared" si="3"/>
        <v>0.41263967585878181</v>
      </c>
      <c r="O13" t="s">
        <v>1</v>
      </c>
      <c r="P13">
        <v>1</v>
      </c>
      <c r="Q13" s="3">
        <v>0.70139749394726325</v>
      </c>
      <c r="R13" s="3">
        <v>8.0057073925174187</v>
      </c>
      <c r="S13" s="3">
        <v>11.881057501945463</v>
      </c>
      <c r="T13" s="3">
        <v>10.8810575019455</v>
      </c>
    </row>
    <row r="14" spans="1:20" x14ac:dyDescent="0.2">
      <c r="A14" t="s">
        <v>35</v>
      </c>
      <c r="B14">
        <v>114232.45116</v>
      </c>
      <c r="C14">
        <v>5255.1616210000002</v>
      </c>
      <c r="D14">
        <v>3233.7580085999998</v>
      </c>
      <c r="E14">
        <v>2404.5726930000001</v>
      </c>
      <c r="H14" t="s">
        <v>35</v>
      </c>
      <c r="I14">
        <f t="shared" si="0"/>
        <v>1</v>
      </c>
      <c r="J14">
        <f t="shared" si="1"/>
        <v>21.737190860794648</v>
      </c>
      <c r="K14">
        <f t="shared" si="2"/>
        <v>35.324984385413238</v>
      </c>
      <c r="L14">
        <f t="shared" si="3"/>
        <v>47.50634135226786</v>
      </c>
      <c r="O14" t="s">
        <v>2</v>
      </c>
      <c r="P14">
        <v>1</v>
      </c>
      <c r="Q14" s="3">
        <v>1.8131038917517879</v>
      </c>
      <c r="R14" s="3">
        <v>14.97725075670304</v>
      </c>
      <c r="S14" s="3">
        <v>19.331208838892739</v>
      </c>
      <c r="T14" s="3">
        <v>20.331208838892699</v>
      </c>
    </row>
    <row r="15" spans="1:20" x14ac:dyDescent="0.2">
      <c r="A15" t="s">
        <v>36</v>
      </c>
      <c r="B15">
        <v>864.942092</v>
      </c>
      <c r="C15">
        <v>2281.7607419999999</v>
      </c>
      <c r="D15">
        <v>1318.7856437999999</v>
      </c>
      <c r="E15">
        <v>635.26963799999999</v>
      </c>
      <c r="H15" t="s">
        <v>36</v>
      </c>
      <c r="I15">
        <f t="shared" si="0"/>
        <v>1</v>
      </c>
      <c r="J15">
        <f t="shared" si="1"/>
        <v>0.3790678295402104</v>
      </c>
      <c r="K15">
        <f t="shared" si="2"/>
        <v>0.65586253237313263</v>
      </c>
      <c r="L15">
        <f t="shared" si="3"/>
        <v>1.3615353863330708</v>
      </c>
      <c r="O15" t="s">
        <v>3</v>
      </c>
      <c r="P15">
        <v>1</v>
      </c>
      <c r="Q15" s="3">
        <v>17.737190860794598</v>
      </c>
      <c r="R15" s="3">
        <v>35.324984385413238</v>
      </c>
      <c r="S15" s="3">
        <v>47.50634135226786</v>
      </c>
      <c r="T15" s="3">
        <v>47.906341352267901</v>
      </c>
    </row>
    <row r="16" spans="1:20" x14ac:dyDescent="0.2">
      <c r="A16" t="s">
        <v>37</v>
      </c>
      <c r="B16">
        <v>264.137653</v>
      </c>
      <c r="C16">
        <v>1001.770996</v>
      </c>
      <c r="D16">
        <v>133.37026019999999</v>
      </c>
      <c r="E16">
        <v>91.694881500000008</v>
      </c>
      <c r="H16" t="s">
        <v>37</v>
      </c>
      <c r="I16">
        <f t="shared" si="0"/>
        <v>1</v>
      </c>
      <c r="J16">
        <f t="shared" si="1"/>
        <v>0.26367069325692477</v>
      </c>
      <c r="K16">
        <f t="shared" si="2"/>
        <v>1.9804838995133041</v>
      </c>
      <c r="L16">
        <f t="shared" si="3"/>
        <v>2.8806150210249193</v>
      </c>
      <c r="O16" t="s">
        <v>4</v>
      </c>
      <c r="P16">
        <v>1</v>
      </c>
      <c r="Q16" s="3">
        <v>1.3434341314870699</v>
      </c>
      <c r="R16" s="3">
        <v>3.2494481997927833</v>
      </c>
      <c r="S16" s="3">
        <v>5.5845526438198867</v>
      </c>
      <c r="T16" s="3">
        <v>5.8988137875186801</v>
      </c>
    </row>
    <row r="17" spans="1:20" x14ac:dyDescent="0.2">
      <c r="A17" t="s">
        <v>38</v>
      </c>
      <c r="B17">
        <v>59.565958999999999</v>
      </c>
      <c r="C17">
        <v>978.46478300000001</v>
      </c>
      <c r="D17">
        <v>114.9843456</v>
      </c>
      <c r="E17">
        <v>93.830017499999997</v>
      </c>
      <c r="H17" t="s">
        <v>38</v>
      </c>
      <c r="I17">
        <f t="shared" si="0"/>
        <v>1</v>
      </c>
      <c r="J17">
        <f t="shared" si="1"/>
        <v>6.0876957489843557E-2</v>
      </c>
      <c r="K17">
        <f t="shared" si="2"/>
        <v>0.51803537854808646</v>
      </c>
      <c r="L17">
        <f t="shared" si="3"/>
        <v>0.63482839060538387</v>
      </c>
      <c r="O17" t="s">
        <v>5</v>
      </c>
      <c r="P17">
        <v>1</v>
      </c>
      <c r="Q17" s="3">
        <v>0.93831079396539008</v>
      </c>
      <c r="R17" s="3">
        <v>3.5615592797411781</v>
      </c>
      <c r="S17" s="3">
        <v>4.7982350432496403</v>
      </c>
      <c r="T17" s="3">
        <v>4.7588279438598997</v>
      </c>
    </row>
    <row r="18" spans="1:20" x14ac:dyDescent="0.2">
      <c r="A18" t="s">
        <v>39</v>
      </c>
      <c r="B18">
        <v>7206.9403750000001</v>
      </c>
      <c r="C18">
        <v>15111.229492</v>
      </c>
      <c r="D18">
        <v>33897.5121096</v>
      </c>
      <c r="E18">
        <v>21051.228515999999</v>
      </c>
      <c r="H18" t="s">
        <v>39</v>
      </c>
      <c r="I18">
        <f t="shared" si="0"/>
        <v>1</v>
      </c>
      <c r="J18">
        <f t="shared" si="1"/>
        <v>0.47692614150393314</v>
      </c>
      <c r="K18">
        <f t="shared" si="2"/>
        <v>0.21260971459197286</v>
      </c>
      <c r="L18">
        <f t="shared" si="3"/>
        <v>0.342352484061553</v>
      </c>
    </row>
    <row r="19" spans="1:20" x14ac:dyDescent="0.2">
      <c r="A19" t="s">
        <v>40</v>
      </c>
      <c r="B19">
        <v>264239.03024300002</v>
      </c>
      <c r="C19">
        <v>564454.5625</v>
      </c>
      <c r="D19">
        <v>72427.710938399992</v>
      </c>
      <c r="E19">
        <v>29693.736328499996</v>
      </c>
      <c r="H19" t="s">
        <v>40</v>
      </c>
      <c r="I19">
        <f t="shared" si="0"/>
        <v>1</v>
      </c>
      <c r="J19">
        <f t="shared" si="1"/>
        <v>0.46813162262817215</v>
      </c>
      <c r="K19">
        <f t="shared" si="2"/>
        <v>3.6483139784403265</v>
      </c>
      <c r="L19">
        <f t="shared" si="3"/>
        <v>8.8988137875186784</v>
      </c>
      <c r="Q19">
        <f>S12/Q12</f>
        <v>122.89124137781776</v>
      </c>
      <c r="R19">
        <f>S12/R12</f>
        <v>1.5845858668949648</v>
      </c>
    </row>
    <row r="20" spans="1:20" x14ac:dyDescent="0.2">
      <c r="A20" t="s">
        <v>41</v>
      </c>
      <c r="B20">
        <v>131554.294972</v>
      </c>
      <c r="C20">
        <v>17914.546875</v>
      </c>
      <c r="D20">
        <v>40485.118359600005</v>
      </c>
      <c r="E20">
        <v>23556.818847000002</v>
      </c>
      <c r="H20" t="s">
        <v>41</v>
      </c>
      <c r="I20">
        <f t="shared" si="0"/>
        <v>1</v>
      </c>
      <c r="J20">
        <f t="shared" si="1"/>
        <v>7.3434341314870686</v>
      </c>
      <c r="K20">
        <f t="shared" si="2"/>
        <v>3.2494481997927833</v>
      </c>
      <c r="L20">
        <f t="shared" si="3"/>
        <v>5.5845526438198867</v>
      </c>
      <c r="Q20">
        <f t="shared" ref="Q20:Q25" si="4">S13/Q13</f>
        <v>16.939121688448431</v>
      </c>
      <c r="R20">
        <f t="shared" ref="R20:R24" si="5">S13/R13</f>
        <v>1.4840734140558476</v>
      </c>
    </row>
    <row r="21" spans="1:20" x14ac:dyDescent="0.2">
      <c r="A21" t="s">
        <v>42</v>
      </c>
      <c r="B21">
        <v>147297.51915099999</v>
      </c>
      <c r="C21">
        <v>14075.912109000001</v>
      </c>
      <c r="D21">
        <v>4771.7793450000008</v>
      </c>
      <c r="E21">
        <v>3366.1212164999997</v>
      </c>
      <c r="H21" t="s">
        <v>42</v>
      </c>
      <c r="I21">
        <f t="shared" si="0"/>
        <v>1</v>
      </c>
      <c r="J21">
        <f t="shared" si="1"/>
        <v>10.464509724866739</v>
      </c>
      <c r="K21">
        <f t="shared" si="2"/>
        <v>30.868468238235344</v>
      </c>
      <c r="L21">
        <f t="shared" si="3"/>
        <v>43.758827943859934</v>
      </c>
      <c r="Q21">
        <f t="shared" si="4"/>
        <v>10.661942168253402</v>
      </c>
      <c r="R21">
        <f t="shared" si="5"/>
        <v>1.2907047596997128</v>
      </c>
    </row>
    <row r="22" spans="1:20" x14ac:dyDescent="0.2">
      <c r="A22" t="s">
        <v>43</v>
      </c>
      <c r="B22">
        <v>6980.4003519999997</v>
      </c>
      <c r="C22">
        <v>5071.6132809999999</v>
      </c>
      <c r="D22">
        <v>7915.4929692000005</v>
      </c>
      <c r="E22">
        <v>4445.1994635000001</v>
      </c>
      <c r="H22" t="s">
        <v>43</v>
      </c>
      <c r="I22">
        <f t="shared" si="0"/>
        <v>1</v>
      </c>
      <c r="J22">
        <f t="shared" si="1"/>
        <v>1.376366841326599</v>
      </c>
      <c r="K22">
        <f t="shared" si="2"/>
        <v>0.88186552362075965</v>
      </c>
      <c r="L22">
        <f t="shared" si="3"/>
        <v>1.5703233137943078</v>
      </c>
      <c r="Q22">
        <f t="shared" si="4"/>
        <v>2.6783464036164548</v>
      </c>
      <c r="R22">
        <f t="shared" si="5"/>
        <v>1.3448368676953946</v>
      </c>
    </row>
    <row r="23" spans="1:20" x14ac:dyDescent="0.2">
      <c r="A23" t="s">
        <v>44</v>
      </c>
      <c r="B23">
        <v>22693.616623000002</v>
      </c>
      <c r="C23">
        <v>3846.6159670000002</v>
      </c>
      <c r="D23">
        <v>6415.1213381999996</v>
      </c>
      <c r="E23">
        <v>3705.5584710000003</v>
      </c>
      <c r="H23" t="s">
        <v>44</v>
      </c>
      <c r="I23">
        <f t="shared" si="0"/>
        <v>1</v>
      </c>
      <c r="J23">
        <f t="shared" si="1"/>
        <v>5.8996314728810564</v>
      </c>
      <c r="K23">
        <f t="shared" si="2"/>
        <v>3.5375194679275603</v>
      </c>
      <c r="L23">
        <f t="shared" si="3"/>
        <v>6.1242095626346416</v>
      </c>
      <c r="Q23">
        <f t="shared" si="4"/>
        <v>4.1569233004659862</v>
      </c>
      <c r="R23">
        <f t="shared" si="5"/>
        <v>1.718615685018771</v>
      </c>
    </row>
    <row r="24" spans="1:20" x14ac:dyDescent="0.2">
      <c r="A24" t="s">
        <v>45</v>
      </c>
      <c r="B24">
        <v>971.81348300000002</v>
      </c>
      <c r="C24">
        <v>1035.705322</v>
      </c>
      <c r="D24">
        <v>272.86180200000001</v>
      </c>
      <c r="E24">
        <v>202.53561450000001</v>
      </c>
      <c r="H24" t="s">
        <v>45</v>
      </c>
      <c r="I24">
        <f t="shared" si="0"/>
        <v>1</v>
      </c>
      <c r="J24">
        <f t="shared" si="1"/>
        <v>0.93831079396539008</v>
      </c>
      <c r="K24">
        <f t="shared" si="2"/>
        <v>3.5615592797411781</v>
      </c>
      <c r="L24">
        <f t="shared" si="3"/>
        <v>4.7982350432496403</v>
      </c>
      <c r="Q24">
        <f t="shared" si="4"/>
        <v>5.1136948163751219</v>
      </c>
      <c r="R24">
        <f t="shared" si="5"/>
        <v>1.3472287462805708</v>
      </c>
    </row>
    <row r="25" spans="1:20" x14ac:dyDescent="0.2">
      <c r="A25" t="s">
        <v>46</v>
      </c>
      <c r="B25">
        <v>285.28610200000003</v>
      </c>
      <c r="C25">
        <v>1053.0836179999999</v>
      </c>
      <c r="D25">
        <v>204.7039542</v>
      </c>
      <c r="E25">
        <v>163.47187049999999</v>
      </c>
      <c r="H25" t="s">
        <v>46</v>
      </c>
      <c r="I25">
        <f t="shared" si="0"/>
        <v>1</v>
      </c>
      <c r="J25">
        <f t="shared" si="1"/>
        <v>0.27090546004486421</v>
      </c>
      <c r="K25">
        <f>B25/D25</f>
        <v>1.3936521310246386</v>
      </c>
      <c r="L25">
        <f t="shared" si="3"/>
        <v>1.7451693745683301</v>
      </c>
      <c r="Q25" t="e">
        <f t="shared" si="4"/>
        <v>#DIV/0!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1F19-4345-3245-8C57-301355C88E93}">
  <dimension ref="A1:U25"/>
  <sheetViews>
    <sheetView workbookViewId="0">
      <selection activeCell="H11" sqref="H11:K11"/>
    </sheetView>
  </sheetViews>
  <sheetFormatPr baseColWidth="10" defaultRowHeight="16" x14ac:dyDescent="0.2"/>
  <cols>
    <col min="3" max="3" width="18.6640625" customWidth="1"/>
    <col min="17" max="17" width="12.5" customWidth="1"/>
  </cols>
  <sheetData>
    <row r="1" spans="1:21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Q1" t="s">
        <v>6</v>
      </c>
      <c r="R1" t="s">
        <v>47</v>
      </c>
      <c r="S1" t="s">
        <v>48</v>
      </c>
      <c r="T1" s="2" t="s">
        <v>50</v>
      </c>
      <c r="U1" s="2" t="s">
        <v>49</v>
      </c>
    </row>
    <row r="2" spans="1:21" x14ac:dyDescent="0.2">
      <c r="A2" t="s">
        <v>23</v>
      </c>
      <c r="B2">
        <v>10769.782437</v>
      </c>
      <c r="D2">
        <v>7044.4709478000004</v>
      </c>
      <c r="E2">
        <v>4860.3479010000001</v>
      </c>
      <c r="H2" t="s">
        <v>23</v>
      </c>
      <c r="I2">
        <f>B2/B2</f>
        <v>1</v>
      </c>
      <c r="K2">
        <f>B2/D2</f>
        <v>1.5288277170570801</v>
      </c>
      <c r="L2">
        <f>B2/E2</f>
        <v>2.2158459962884867</v>
      </c>
      <c r="P2" t="s">
        <v>0</v>
      </c>
      <c r="Q2">
        <v>1</v>
      </c>
      <c r="R2">
        <v>0.12</v>
      </c>
      <c r="S2">
        <v>1.5288277170570801</v>
      </c>
      <c r="T2">
        <v>2.2158459962884867</v>
      </c>
      <c r="U2">
        <v>1.9158459962884899</v>
      </c>
    </row>
    <row r="3" spans="1:21" x14ac:dyDescent="0.2">
      <c r="A3" t="s">
        <v>24</v>
      </c>
      <c r="B3">
        <v>17575.556282000001</v>
      </c>
      <c r="D3">
        <v>31253.396484600002</v>
      </c>
      <c r="E3">
        <v>7495.2810059999993</v>
      </c>
      <c r="H3" t="s">
        <v>24</v>
      </c>
      <c r="I3">
        <f t="shared" ref="I3:I25" si="0">B3/B3</f>
        <v>1</v>
      </c>
      <c r="K3">
        <f t="shared" ref="K3:K25" si="1">B3/D3</f>
        <v>0.56235667987830673</v>
      </c>
      <c r="L3">
        <f t="shared" ref="L3:L25" si="2">B3/E3</f>
        <v>2.3448829027131479</v>
      </c>
      <c r="P3" t="s">
        <v>1</v>
      </c>
      <c r="Q3">
        <v>1</v>
      </c>
      <c r="R3">
        <v>0.21013974939472599</v>
      </c>
      <c r="S3">
        <v>4.8642005686156127</v>
      </c>
      <c r="T3">
        <v>15.652497386552445</v>
      </c>
      <c r="U3">
        <v>14.652497386552399</v>
      </c>
    </row>
    <row r="4" spans="1:21" x14ac:dyDescent="0.2">
      <c r="A4" t="s">
        <v>25</v>
      </c>
      <c r="B4">
        <v>1089.06375</v>
      </c>
      <c r="D4">
        <v>223.89367679999998</v>
      </c>
      <c r="E4">
        <v>69.577635000000001</v>
      </c>
      <c r="H4" t="s">
        <v>25</v>
      </c>
      <c r="I4">
        <f t="shared" si="0"/>
        <v>1</v>
      </c>
      <c r="K4">
        <f t="shared" si="1"/>
        <v>4.8642005686156127</v>
      </c>
      <c r="L4">
        <f t="shared" si="2"/>
        <v>15.652497386552445</v>
      </c>
      <c r="P4" t="s">
        <v>2</v>
      </c>
      <c r="Q4">
        <v>1</v>
      </c>
      <c r="R4">
        <v>2.1131038917517899</v>
      </c>
      <c r="S4">
        <v>15.2700545158045</v>
      </c>
      <c r="T4">
        <v>23.79957964847739</v>
      </c>
      <c r="U4">
        <v>23.9995796484774</v>
      </c>
    </row>
    <row r="5" spans="1:21" x14ac:dyDescent="0.2">
      <c r="A5" t="s">
        <v>26</v>
      </c>
      <c r="B5">
        <v>2640.370774</v>
      </c>
      <c r="D5">
        <v>1274.6096190000001</v>
      </c>
      <c r="E5">
        <v>370.03314899999998</v>
      </c>
      <c r="H5" t="s">
        <v>26</v>
      </c>
      <c r="I5">
        <f t="shared" si="0"/>
        <v>1</v>
      </c>
      <c r="K5">
        <f t="shared" si="1"/>
        <v>2.0715132968096639</v>
      </c>
      <c r="L5">
        <f t="shared" si="2"/>
        <v>7.1354979442666098</v>
      </c>
      <c r="P5" t="s">
        <v>3</v>
      </c>
      <c r="Q5">
        <v>1</v>
      </c>
      <c r="R5">
        <v>10.7371908607946</v>
      </c>
      <c r="S5">
        <v>18.9545938965062</v>
      </c>
      <c r="T5">
        <v>51.058894927724289</v>
      </c>
      <c r="U5">
        <v>48.058894927724303</v>
      </c>
    </row>
    <row r="6" spans="1:21" x14ac:dyDescent="0.2">
      <c r="A6" t="s">
        <v>27</v>
      </c>
      <c r="B6">
        <v>289.70998700000001</v>
      </c>
      <c r="D6">
        <v>788.66290259999994</v>
      </c>
      <c r="E6">
        <v>219.45140100000003</v>
      </c>
      <c r="H6" t="s">
        <v>27</v>
      </c>
      <c r="I6">
        <f t="shared" si="0"/>
        <v>1</v>
      </c>
      <c r="K6">
        <f t="shared" si="1"/>
        <v>0.36734324138349556</v>
      </c>
      <c r="L6">
        <f t="shared" si="2"/>
        <v>1.320155559180048</v>
      </c>
      <c r="P6" t="s">
        <v>4</v>
      </c>
      <c r="Q6">
        <v>1</v>
      </c>
      <c r="R6">
        <v>1.3434341314870699</v>
      </c>
      <c r="S6">
        <v>1.3746219656452694</v>
      </c>
      <c r="T6">
        <v>4.1396934455444683</v>
      </c>
      <c r="U6">
        <v>4.7396934455444697</v>
      </c>
    </row>
    <row r="7" spans="1:21" x14ac:dyDescent="0.2">
      <c r="A7" t="s">
        <v>28</v>
      </c>
      <c r="B7">
        <v>385.29597999999999</v>
      </c>
      <c r="D7">
        <v>602.84069820000002</v>
      </c>
      <c r="E7">
        <v>292.96282200000002</v>
      </c>
      <c r="H7" t="s">
        <v>28</v>
      </c>
      <c r="I7">
        <f t="shared" si="0"/>
        <v>1</v>
      </c>
      <c r="K7">
        <f t="shared" si="1"/>
        <v>0.63913398871449978</v>
      </c>
      <c r="L7">
        <f t="shared" si="2"/>
        <v>1.3151702232032703</v>
      </c>
      <c r="P7" t="s">
        <v>5</v>
      </c>
      <c r="Q7">
        <v>1</v>
      </c>
      <c r="R7">
        <v>0.63831079396539003</v>
      </c>
      <c r="S7">
        <v>1.3428206817381831</v>
      </c>
      <c r="T7">
        <v>3.6285582845570037</v>
      </c>
      <c r="U7">
        <v>3.8285582845569999</v>
      </c>
    </row>
    <row r="8" spans="1:21" x14ac:dyDescent="0.2">
      <c r="A8" t="s">
        <v>29</v>
      </c>
      <c r="B8">
        <v>68.531605999999996</v>
      </c>
      <c r="D8">
        <v>97.332021000000012</v>
      </c>
      <c r="E8">
        <v>41.794415999999998</v>
      </c>
      <c r="H8" t="s">
        <v>29</v>
      </c>
      <c r="I8">
        <f t="shared" si="0"/>
        <v>1</v>
      </c>
      <c r="K8">
        <f t="shared" si="1"/>
        <v>0.70410133577725653</v>
      </c>
      <c r="L8">
        <f t="shared" si="2"/>
        <v>1.6397311545159525</v>
      </c>
      <c r="R8" s="3">
        <f>AVERAGE(R2:R7)</f>
        <v>2.527029904565596</v>
      </c>
      <c r="S8" s="3">
        <f>AVERAGE(S2:S7)</f>
        <v>7.2225198908944739</v>
      </c>
      <c r="T8" s="3">
        <f>AVERAGE(T2:T7)</f>
        <v>16.749178281524014</v>
      </c>
      <c r="U8" s="3">
        <f>AVERAGE(U2:U7)</f>
        <v>16.199178281524013</v>
      </c>
    </row>
    <row r="9" spans="1:21" x14ac:dyDescent="0.2">
      <c r="A9" t="s">
        <v>30</v>
      </c>
      <c r="B9">
        <v>16.392329</v>
      </c>
      <c r="D9">
        <v>57.196337399999997</v>
      </c>
      <c r="E9">
        <v>42.491904000000005</v>
      </c>
      <c r="H9" t="s">
        <v>30</v>
      </c>
      <c r="I9">
        <f t="shared" si="0"/>
        <v>1</v>
      </c>
      <c r="K9">
        <f t="shared" si="1"/>
        <v>0.286597529582375</v>
      </c>
      <c r="L9">
        <f t="shared" si="2"/>
        <v>0.38577534675781999</v>
      </c>
    </row>
    <row r="10" spans="1:21" x14ac:dyDescent="0.2">
      <c r="A10" t="s">
        <v>31</v>
      </c>
      <c r="B10">
        <v>166639.23224499999</v>
      </c>
      <c r="D10">
        <v>131808.06562500002</v>
      </c>
      <c r="E10">
        <v>107925.609375</v>
      </c>
      <c r="H10" t="s">
        <v>31</v>
      </c>
      <c r="I10">
        <f t="shared" si="0"/>
        <v>1</v>
      </c>
      <c r="K10">
        <f t="shared" si="1"/>
        <v>1.2642567164220151</v>
      </c>
      <c r="L10">
        <f t="shared" si="2"/>
        <v>1.5440193778845641</v>
      </c>
    </row>
    <row r="11" spans="1:21" x14ac:dyDescent="0.2">
      <c r="A11" t="s">
        <v>32</v>
      </c>
      <c r="B11">
        <v>490.52297099999998</v>
      </c>
      <c r="D11">
        <v>90.152758800000001</v>
      </c>
      <c r="E11">
        <v>59.397120000000001</v>
      </c>
      <c r="H11" t="s">
        <v>32</v>
      </c>
      <c r="I11">
        <f t="shared" si="0"/>
        <v>1</v>
      </c>
      <c r="K11">
        <f t="shared" si="1"/>
        <v>5.4410200811292304</v>
      </c>
      <c r="L11">
        <f t="shared" si="2"/>
        <v>8.2583628802204547</v>
      </c>
      <c r="R11">
        <f>T2/R2</f>
        <v>18.465383302404057</v>
      </c>
      <c r="S11">
        <f>T2/S2</f>
        <v>1.449375865943799</v>
      </c>
    </row>
    <row r="12" spans="1:21" x14ac:dyDescent="0.2">
      <c r="A12" t="s">
        <v>33</v>
      </c>
      <c r="B12">
        <v>18051.209461999999</v>
      </c>
      <c r="D12">
        <v>936.74926799999992</v>
      </c>
      <c r="E12">
        <v>758.46757500000001</v>
      </c>
      <c r="H12" t="s">
        <v>33</v>
      </c>
      <c r="I12">
        <f t="shared" si="0"/>
        <v>1</v>
      </c>
      <c r="K12">
        <f t="shared" si="1"/>
        <v>19.270054515804542</v>
      </c>
      <c r="L12">
        <f t="shared" si="2"/>
        <v>23.79957964847739</v>
      </c>
      <c r="R12">
        <f t="shared" ref="R12:R18" si="3">T3/R3</f>
        <v>74.486133307177568</v>
      </c>
      <c r="S12">
        <f t="shared" ref="S12:S17" si="4">T3/S3</f>
        <v>3.2178971992939966</v>
      </c>
    </row>
    <row r="13" spans="1:21" x14ac:dyDescent="0.2">
      <c r="A13" t="s">
        <v>34</v>
      </c>
      <c r="B13">
        <v>9739.6873030000006</v>
      </c>
      <c r="D13">
        <v>11712.897948600001</v>
      </c>
      <c r="E13">
        <v>3634.9204094999996</v>
      </c>
      <c r="H13" t="s">
        <v>34</v>
      </c>
      <c r="I13">
        <f t="shared" si="0"/>
        <v>1</v>
      </c>
      <c r="K13">
        <f t="shared" si="1"/>
        <v>0.83153523113928862</v>
      </c>
      <c r="L13">
        <f t="shared" si="2"/>
        <v>2.6794774591336212</v>
      </c>
      <c r="R13">
        <f t="shared" si="3"/>
        <v>11.26285354041312</v>
      </c>
      <c r="S13">
        <f t="shared" si="4"/>
        <v>1.5585785645915564</v>
      </c>
    </row>
    <row r="14" spans="1:21" x14ac:dyDescent="0.2">
      <c r="A14" t="s">
        <v>35</v>
      </c>
      <c r="B14">
        <v>29851.229642999999</v>
      </c>
      <c r="D14">
        <v>1495.9577628</v>
      </c>
      <c r="E14">
        <v>584.64308099999994</v>
      </c>
      <c r="H14" t="s">
        <v>35</v>
      </c>
      <c r="I14">
        <f t="shared" si="0"/>
        <v>1</v>
      </c>
      <c r="K14">
        <f t="shared" si="1"/>
        <v>19.954593896506232</v>
      </c>
      <c r="L14">
        <f t="shared" si="2"/>
        <v>51.058894927724289</v>
      </c>
      <c r="R14">
        <f t="shared" si="3"/>
        <v>4.7553308486076125</v>
      </c>
      <c r="S14">
        <f t="shared" si="4"/>
        <v>2.6937477640782221</v>
      </c>
    </row>
    <row r="15" spans="1:21" x14ac:dyDescent="0.2">
      <c r="A15" t="s">
        <v>36</v>
      </c>
      <c r="B15">
        <v>232.381146</v>
      </c>
      <c r="D15">
        <v>590.82484139999997</v>
      </c>
      <c r="E15">
        <v>192.91358250000002</v>
      </c>
      <c r="H15" t="s">
        <v>36</v>
      </c>
      <c r="I15">
        <f t="shared" si="0"/>
        <v>1</v>
      </c>
      <c r="K15">
        <f t="shared" si="1"/>
        <v>0.39331647844961454</v>
      </c>
      <c r="L15">
        <f t="shared" si="2"/>
        <v>1.2045867532422192</v>
      </c>
      <c r="R15">
        <f t="shared" si="3"/>
        <v>3.0814264343292899</v>
      </c>
      <c r="S15">
        <f t="shared" si="4"/>
        <v>3.0115141100638754</v>
      </c>
    </row>
    <row r="16" spans="1:21" x14ac:dyDescent="0.2">
      <c r="A16" t="s">
        <v>37</v>
      </c>
      <c r="B16">
        <v>125.153614</v>
      </c>
      <c r="D16">
        <v>150.51939659999999</v>
      </c>
      <c r="E16">
        <v>47.336110500000004</v>
      </c>
      <c r="H16" t="s">
        <v>37</v>
      </c>
      <c r="I16">
        <f t="shared" si="0"/>
        <v>1</v>
      </c>
      <c r="K16">
        <f t="shared" si="1"/>
        <v>0.83147831327407817</v>
      </c>
      <c r="L16">
        <f t="shared" si="2"/>
        <v>2.6439353102321324</v>
      </c>
      <c r="R16">
        <f t="shared" si="3"/>
        <v>5.6846262335863749</v>
      </c>
      <c r="S16">
        <f t="shared" si="4"/>
        <v>2.702191241097136</v>
      </c>
    </row>
    <row r="17" spans="1:19" x14ac:dyDescent="0.2">
      <c r="A17" t="s">
        <v>38</v>
      </c>
      <c r="B17">
        <v>27.119147000000002</v>
      </c>
      <c r="D17">
        <v>90.124702200000002</v>
      </c>
      <c r="E17">
        <v>44.543998500000001</v>
      </c>
      <c r="H17" t="s">
        <v>38</v>
      </c>
      <c r="I17">
        <f t="shared" si="0"/>
        <v>1</v>
      </c>
      <c r="K17">
        <f t="shared" si="1"/>
        <v>0.3009069249384993</v>
      </c>
      <c r="L17">
        <f t="shared" si="2"/>
        <v>0.60881707779331939</v>
      </c>
      <c r="R17">
        <f t="shared" si="3"/>
        <v>6.6280095266238046</v>
      </c>
      <c r="S17">
        <f t="shared" si="4"/>
        <v>2.3190214128229574</v>
      </c>
    </row>
    <row r="18" spans="1:19" x14ac:dyDescent="0.2">
      <c r="A18" t="s">
        <v>39</v>
      </c>
      <c r="B18">
        <v>410.39421900000002</v>
      </c>
      <c r="D18">
        <v>607.97949840000001</v>
      </c>
      <c r="E18">
        <v>176.49589950000001</v>
      </c>
      <c r="H18" t="s">
        <v>39</v>
      </c>
      <c r="I18">
        <f t="shared" si="0"/>
        <v>1</v>
      </c>
      <c r="K18">
        <f t="shared" si="1"/>
        <v>0.67501325304557347</v>
      </c>
      <c r="L18">
        <f t="shared" si="2"/>
        <v>2.325233731563265</v>
      </c>
      <c r="R18" t="e">
        <f t="shared" si="3"/>
        <v>#DIV/0!</v>
      </c>
    </row>
    <row r="19" spans="1:19" x14ac:dyDescent="0.2">
      <c r="A19" t="s">
        <v>40</v>
      </c>
      <c r="B19">
        <v>10836.878296999999</v>
      </c>
      <c r="D19">
        <v>10338.599707199999</v>
      </c>
      <c r="E19">
        <v>6534.0659175000001</v>
      </c>
      <c r="H19" t="s">
        <v>40</v>
      </c>
      <c r="I19">
        <f t="shared" si="0"/>
        <v>1</v>
      </c>
      <c r="K19">
        <f t="shared" si="1"/>
        <v>1.0481959456707652</v>
      </c>
      <c r="L19">
        <f t="shared" si="2"/>
        <v>1.6585198915694899</v>
      </c>
    </row>
    <row r="20" spans="1:19" x14ac:dyDescent="0.2">
      <c r="A20" t="s">
        <v>41</v>
      </c>
      <c r="B20">
        <v>2134.8324459999999</v>
      </c>
      <c r="D20">
        <v>1553.0323968</v>
      </c>
      <c r="E20">
        <v>515.69819699999994</v>
      </c>
      <c r="H20" t="s">
        <v>41</v>
      </c>
      <c r="I20">
        <f t="shared" si="0"/>
        <v>1</v>
      </c>
      <c r="K20">
        <f t="shared" si="1"/>
        <v>1.3746219656452694</v>
      </c>
      <c r="L20">
        <f t="shared" si="2"/>
        <v>4.1396934455444683</v>
      </c>
    </row>
    <row r="21" spans="1:19" x14ac:dyDescent="0.2">
      <c r="A21" t="s">
        <v>42</v>
      </c>
      <c r="B21">
        <v>1131.2308250000001</v>
      </c>
      <c r="D21">
        <v>2603.7505368000002</v>
      </c>
      <c r="E21">
        <v>590.23841849999997</v>
      </c>
      <c r="H21" t="s">
        <v>42</v>
      </c>
      <c r="I21">
        <f t="shared" si="0"/>
        <v>1</v>
      </c>
      <c r="K21">
        <f t="shared" si="1"/>
        <v>0.43446206117360175</v>
      </c>
      <c r="L21">
        <f t="shared" si="2"/>
        <v>1.9165658987004761</v>
      </c>
    </row>
    <row r="22" spans="1:19" x14ac:dyDescent="0.2">
      <c r="A22" t="s">
        <v>43</v>
      </c>
      <c r="B22">
        <v>303.055746</v>
      </c>
      <c r="D22">
        <v>770.15714759999992</v>
      </c>
      <c r="E22">
        <v>244.35147899999998</v>
      </c>
      <c r="H22" t="s">
        <v>43</v>
      </c>
      <c r="I22">
        <f t="shared" si="0"/>
        <v>1</v>
      </c>
      <c r="K22">
        <f t="shared" si="1"/>
        <v>0.39349858265212057</v>
      </c>
      <c r="L22">
        <f t="shared" si="2"/>
        <v>1.2402451879573031</v>
      </c>
    </row>
    <row r="23" spans="1:19" x14ac:dyDescent="0.2">
      <c r="A23" t="s">
        <v>44</v>
      </c>
      <c r="B23">
        <v>395.136099</v>
      </c>
      <c r="D23">
        <v>676.63135980000004</v>
      </c>
      <c r="E23">
        <v>169.436016</v>
      </c>
      <c r="H23" t="s">
        <v>44</v>
      </c>
      <c r="I23">
        <f t="shared" si="0"/>
        <v>1</v>
      </c>
      <c r="K23">
        <f t="shared" si="1"/>
        <v>0.58397544434948312</v>
      </c>
      <c r="L23">
        <f t="shared" si="2"/>
        <v>2.3320667490198779</v>
      </c>
    </row>
    <row r="24" spans="1:19" x14ac:dyDescent="0.2">
      <c r="A24" t="s">
        <v>45</v>
      </c>
      <c r="B24">
        <v>183.89649499999999</v>
      </c>
      <c r="D24">
        <v>136.9479168</v>
      </c>
      <c r="E24">
        <v>50.680319999999995</v>
      </c>
      <c r="H24" t="s">
        <v>45</v>
      </c>
      <c r="I24">
        <f t="shared" si="0"/>
        <v>1</v>
      </c>
      <c r="K24">
        <f t="shared" si="1"/>
        <v>1.3428206817381831</v>
      </c>
      <c r="L24">
        <f t="shared" si="2"/>
        <v>3.6285582845570037</v>
      </c>
    </row>
    <row r="25" spans="1:19" x14ac:dyDescent="0.2">
      <c r="A25" t="s">
        <v>46</v>
      </c>
      <c r="B25">
        <v>41.737993000000003</v>
      </c>
      <c r="D25">
        <v>94.395801599999999</v>
      </c>
      <c r="E25">
        <v>45.109247999999994</v>
      </c>
      <c r="H25" t="s">
        <v>46</v>
      </c>
      <c r="I25">
        <f t="shared" si="0"/>
        <v>1</v>
      </c>
      <c r="K25">
        <f t="shared" si="1"/>
        <v>0.44215942120883484</v>
      </c>
      <c r="L25">
        <f t="shared" si="2"/>
        <v>0.92526465969904903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1112-6594-9144-80BF-D3596B14218B}">
  <dimension ref="A1:S25"/>
  <sheetViews>
    <sheetView topLeftCell="A3" workbookViewId="0">
      <selection activeCell="G11" sqref="G11:K11"/>
    </sheetView>
  </sheetViews>
  <sheetFormatPr baseColWidth="10" defaultRowHeight="16" x14ac:dyDescent="0.2"/>
  <cols>
    <col min="2" max="2" width="12.83203125" customWidth="1"/>
    <col min="3" max="3" width="13.33203125" customWidth="1"/>
    <col min="9" max="9" width="16.1640625" customWidth="1"/>
    <col min="16" max="16" width="12.33203125" customWidth="1"/>
  </cols>
  <sheetData>
    <row r="1" spans="1:19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O1" t="s">
        <v>6</v>
      </c>
      <c r="P1" t="s">
        <v>47</v>
      </c>
      <c r="Q1" t="s">
        <v>48</v>
      </c>
      <c r="R1" s="2" t="s">
        <v>50</v>
      </c>
      <c r="S1" s="2" t="s">
        <v>49</v>
      </c>
    </row>
    <row r="2" spans="1:19" x14ac:dyDescent="0.2">
      <c r="A2" t="s">
        <v>23</v>
      </c>
      <c r="B2">
        <v>6702.7611850000003</v>
      </c>
      <c r="D2">
        <v>4654.0952150000003</v>
      </c>
      <c r="E2">
        <v>3729.9660640000002</v>
      </c>
      <c r="G2" t="s">
        <v>23</v>
      </c>
      <c r="H2">
        <f>B2/B2</f>
        <v>1</v>
      </c>
      <c r="J2">
        <f>B2/D2</f>
        <v>1.4401856591582431</v>
      </c>
      <c r="K2">
        <f>B2/E2</f>
        <v>1.7970032622259269</v>
      </c>
      <c r="M2" t="s">
        <v>23</v>
      </c>
      <c r="N2" t="s">
        <v>0</v>
      </c>
      <c r="O2">
        <v>1</v>
      </c>
      <c r="P2">
        <v>0.15</v>
      </c>
      <c r="Q2">
        <v>1.4401856591582431</v>
      </c>
      <c r="R2">
        <v>1.7970032622259269</v>
      </c>
      <c r="S2">
        <v>1.59700326222593</v>
      </c>
    </row>
    <row r="3" spans="1:19" x14ac:dyDescent="0.2">
      <c r="A3" t="s">
        <v>24</v>
      </c>
      <c r="B3">
        <v>11889.224591</v>
      </c>
      <c r="D3">
        <v>20437.757812</v>
      </c>
      <c r="E3">
        <v>6322.9389650000003</v>
      </c>
      <c r="G3" t="s">
        <v>24</v>
      </c>
      <c r="H3">
        <f t="shared" ref="H3:H25" si="0">B3/B3</f>
        <v>1</v>
      </c>
      <c r="J3">
        <f t="shared" ref="J3:J25" si="1">B3/D3</f>
        <v>0.58172842150126958</v>
      </c>
      <c r="K3">
        <f t="shared" ref="K3:K25" si="2">B3/E3</f>
        <v>1.8803320191467323</v>
      </c>
      <c r="M3" t="s">
        <v>25</v>
      </c>
      <c r="N3" t="s">
        <v>1</v>
      </c>
      <c r="O3">
        <v>1</v>
      </c>
      <c r="P3">
        <v>0.21013974939472599</v>
      </c>
      <c r="Q3">
        <v>6.1465464644993402</v>
      </c>
      <c r="R3">
        <v>16.08307139862805</v>
      </c>
      <c r="S3">
        <v>16.8830713986281</v>
      </c>
    </row>
    <row r="4" spans="1:19" x14ac:dyDescent="0.2">
      <c r="A4" t="s">
        <v>25</v>
      </c>
      <c r="B4">
        <v>844.03958699999998</v>
      </c>
      <c r="D4">
        <v>137.319321</v>
      </c>
      <c r="E4">
        <v>52.48</v>
      </c>
      <c r="G4" t="s">
        <v>25</v>
      </c>
      <c r="H4">
        <f t="shared" si="0"/>
        <v>1</v>
      </c>
      <c r="J4">
        <f t="shared" si="1"/>
        <v>6.1465464644993402</v>
      </c>
      <c r="K4">
        <f t="shared" si="2"/>
        <v>16.08307139862805</v>
      </c>
      <c r="M4" t="s">
        <v>33</v>
      </c>
      <c r="N4" t="s">
        <v>2</v>
      </c>
      <c r="O4">
        <v>1</v>
      </c>
      <c r="P4">
        <v>2.1131038917517899</v>
      </c>
      <c r="Q4">
        <v>13.0015183696561</v>
      </c>
      <c r="R4">
        <v>22.499977694177439</v>
      </c>
      <c r="S4">
        <v>22.999977694177399</v>
      </c>
    </row>
    <row r="5" spans="1:19" x14ac:dyDescent="0.2">
      <c r="A5" t="s">
        <v>26</v>
      </c>
      <c r="B5">
        <v>2019.5399540000001</v>
      </c>
      <c r="D5">
        <v>841.56622300000004</v>
      </c>
      <c r="E5">
        <v>280.45617700000003</v>
      </c>
      <c r="G5" t="s">
        <v>26</v>
      </c>
      <c r="H5">
        <f t="shared" si="0"/>
        <v>1</v>
      </c>
      <c r="J5">
        <f t="shared" si="1"/>
        <v>2.3997397932640174</v>
      </c>
      <c r="K5">
        <f t="shared" si="2"/>
        <v>7.200910943031217</v>
      </c>
      <c r="M5" t="s">
        <v>35</v>
      </c>
      <c r="N5" t="s">
        <v>3</v>
      </c>
      <c r="O5">
        <v>1</v>
      </c>
      <c r="P5">
        <v>10.7371908607946</v>
      </c>
      <c r="Q5">
        <v>23.992039523292298</v>
      </c>
      <c r="R5">
        <v>50.898652021146098</v>
      </c>
      <c r="S5">
        <v>51.898652021146098</v>
      </c>
    </row>
    <row r="6" spans="1:19" x14ac:dyDescent="0.2">
      <c r="A6" t="s">
        <v>27</v>
      </c>
      <c r="B6">
        <v>229.43337500000001</v>
      </c>
      <c r="D6">
        <v>503.28781099999998</v>
      </c>
      <c r="E6">
        <v>152.24421699999999</v>
      </c>
      <c r="G6" t="s">
        <v>27</v>
      </c>
      <c r="H6">
        <f t="shared" si="0"/>
        <v>1</v>
      </c>
      <c r="J6">
        <f t="shared" si="1"/>
        <v>0.45586912693977405</v>
      </c>
      <c r="K6">
        <f t="shared" si="2"/>
        <v>1.5070088015231478</v>
      </c>
      <c r="M6" t="s">
        <v>41</v>
      </c>
      <c r="N6" t="s">
        <v>4</v>
      </c>
      <c r="O6">
        <v>1</v>
      </c>
      <c r="P6">
        <v>1.3434341314870699</v>
      </c>
      <c r="Q6">
        <v>1.4909619426008727</v>
      </c>
      <c r="R6">
        <v>4.2540914026880099</v>
      </c>
      <c r="S6">
        <v>3.9540914026880101</v>
      </c>
    </row>
    <row r="7" spans="1:19" x14ac:dyDescent="0.2">
      <c r="A7" t="s">
        <v>28</v>
      </c>
      <c r="B7">
        <v>396.55769700000002</v>
      </c>
      <c r="D7">
        <v>401.85037199999999</v>
      </c>
      <c r="E7">
        <v>185.69932600000001</v>
      </c>
      <c r="G7" t="s">
        <v>28</v>
      </c>
      <c r="H7">
        <f t="shared" si="0"/>
        <v>1</v>
      </c>
      <c r="J7">
        <f t="shared" si="1"/>
        <v>0.98682923951604562</v>
      </c>
      <c r="K7">
        <f t="shared" si="2"/>
        <v>2.1354826942129019</v>
      </c>
      <c r="M7" t="s">
        <v>45</v>
      </c>
      <c r="N7" t="s">
        <v>5</v>
      </c>
      <c r="O7">
        <v>1</v>
      </c>
      <c r="P7">
        <v>0.63831079396539003</v>
      </c>
      <c r="Q7">
        <v>1.3439260772666255</v>
      </c>
      <c r="R7">
        <v>3.3227406245998257</v>
      </c>
      <c r="S7">
        <v>3.8227406245998301</v>
      </c>
    </row>
    <row r="8" spans="1:19" x14ac:dyDescent="0.2">
      <c r="A8" t="s">
        <v>29</v>
      </c>
      <c r="B8">
        <v>71.710963000000007</v>
      </c>
      <c r="D8">
        <v>62.088191999999999</v>
      </c>
      <c r="E8">
        <v>30.094145000000001</v>
      </c>
      <c r="G8" t="s">
        <v>29</v>
      </c>
      <c r="H8">
        <f t="shared" si="0"/>
        <v>1</v>
      </c>
      <c r="J8">
        <f t="shared" si="1"/>
        <v>1.1549855244617206</v>
      </c>
      <c r="K8">
        <f t="shared" si="2"/>
        <v>2.3828875351002665</v>
      </c>
      <c r="P8" s="3">
        <f>AVERAGE(P2:P7)</f>
        <v>2.5320299045655958</v>
      </c>
      <c r="Q8" s="3">
        <f>AVERAGE(Q2:Q7)</f>
        <v>7.9025296727455805</v>
      </c>
      <c r="R8" s="3">
        <f>AVERAGE(R2:R7)</f>
        <v>16.475922733910892</v>
      </c>
      <c r="S8" s="3">
        <f>AVERAGE(S2:S7)</f>
        <v>16.859256067244228</v>
      </c>
    </row>
    <row r="9" spans="1:19" x14ac:dyDescent="0.2">
      <c r="A9" t="s">
        <v>30</v>
      </c>
      <c r="B9">
        <v>20.765753</v>
      </c>
      <c r="D9">
        <v>36.449280000000002</v>
      </c>
      <c r="E9">
        <v>28.254207999999998</v>
      </c>
      <c r="G9" t="s">
        <v>30</v>
      </c>
      <c r="H9">
        <f t="shared" si="0"/>
        <v>1</v>
      </c>
      <c r="J9">
        <f t="shared" si="1"/>
        <v>0.56971641140785223</v>
      </c>
      <c r="K9">
        <f t="shared" si="2"/>
        <v>0.73496142592282188</v>
      </c>
    </row>
    <row r="10" spans="1:19" x14ac:dyDescent="0.2">
      <c r="A10" t="s">
        <v>31</v>
      </c>
      <c r="B10">
        <v>126818.321635</v>
      </c>
      <c r="D10">
        <v>93074.046875</v>
      </c>
      <c r="E10">
        <v>93093.492188000004</v>
      </c>
      <c r="G10" t="s">
        <v>31</v>
      </c>
      <c r="H10">
        <f t="shared" si="0"/>
        <v>1</v>
      </c>
      <c r="J10">
        <f t="shared" si="1"/>
        <v>1.3625529983166964</v>
      </c>
      <c r="K10">
        <f t="shared" si="2"/>
        <v>1.3622683890608973</v>
      </c>
    </row>
    <row r="11" spans="1:19" x14ac:dyDescent="0.2">
      <c r="A11" t="s">
        <v>32</v>
      </c>
      <c r="B11">
        <v>384.449254</v>
      </c>
      <c r="D11">
        <v>45.640704999999997</v>
      </c>
      <c r="E11">
        <v>37.365760999999999</v>
      </c>
      <c r="G11" t="s">
        <v>32</v>
      </c>
      <c r="H11">
        <f t="shared" si="0"/>
        <v>1</v>
      </c>
      <c r="J11">
        <f t="shared" si="1"/>
        <v>8.4233855283348493</v>
      </c>
      <c r="K11">
        <f t="shared" si="2"/>
        <v>10.288811032110386</v>
      </c>
    </row>
    <row r="12" spans="1:19" x14ac:dyDescent="0.2">
      <c r="A12" t="s">
        <v>33</v>
      </c>
      <c r="B12">
        <v>14841.569769</v>
      </c>
      <c r="D12">
        <v>674.57025099999998</v>
      </c>
      <c r="E12">
        <v>659.62597700000003</v>
      </c>
      <c r="G12" t="s">
        <v>33</v>
      </c>
      <c r="H12">
        <f t="shared" si="0"/>
        <v>1</v>
      </c>
      <c r="J12">
        <f t="shared" si="1"/>
        <v>22.001518369656061</v>
      </c>
      <c r="K12">
        <f t="shared" si="2"/>
        <v>22.499977694177439</v>
      </c>
      <c r="P12">
        <f>R2/P2</f>
        <v>11.980021748172847</v>
      </c>
    </row>
    <row r="13" spans="1:19" x14ac:dyDescent="0.2">
      <c r="A13" t="s">
        <v>34</v>
      </c>
      <c r="B13">
        <v>8046.7807750000002</v>
      </c>
      <c r="D13">
        <v>8132.3212890000004</v>
      </c>
      <c r="E13">
        <v>3028.2075199999999</v>
      </c>
      <c r="G13" t="s">
        <v>34</v>
      </c>
      <c r="H13">
        <f t="shared" si="0"/>
        <v>1</v>
      </c>
      <c r="J13">
        <f t="shared" si="1"/>
        <v>0.98948141484329888</v>
      </c>
      <c r="K13">
        <f t="shared" si="2"/>
        <v>2.6572752104518913</v>
      </c>
      <c r="P13">
        <f t="shared" ref="P13:P20" si="3">R3/P3</f>
        <v>76.535122198216996</v>
      </c>
    </row>
    <row r="14" spans="1:19" ht="18" customHeight="1" x14ac:dyDescent="0.2">
      <c r="A14" t="s">
        <v>35</v>
      </c>
      <c r="B14">
        <v>23864.962543000001</v>
      </c>
      <c r="D14">
        <v>994.70336899999995</v>
      </c>
      <c r="E14">
        <v>468.87219199999998</v>
      </c>
      <c r="G14" t="s">
        <v>35</v>
      </c>
      <c r="H14">
        <f t="shared" si="0"/>
        <v>1</v>
      </c>
      <c r="J14">
        <f t="shared" si="1"/>
        <v>23.992039523292298</v>
      </c>
      <c r="K14">
        <f t="shared" si="2"/>
        <v>50.898652021146098</v>
      </c>
      <c r="P14">
        <f t="shared" si="3"/>
        <v>10.647833162393484</v>
      </c>
    </row>
    <row r="15" spans="1:19" x14ac:dyDescent="0.2">
      <c r="A15" t="s">
        <v>36</v>
      </c>
      <c r="B15">
        <v>194.721441</v>
      </c>
      <c r="D15">
        <v>383.41323899999998</v>
      </c>
      <c r="E15">
        <v>138.657791</v>
      </c>
      <c r="G15" t="s">
        <v>36</v>
      </c>
      <c r="H15">
        <f t="shared" si="0"/>
        <v>1</v>
      </c>
      <c r="J15">
        <f t="shared" si="1"/>
        <v>0.50786311267671169</v>
      </c>
      <c r="K15">
        <f t="shared" si="2"/>
        <v>1.4043310483721754</v>
      </c>
      <c r="P15">
        <f t="shared" si="3"/>
        <v>4.7404067489379962</v>
      </c>
    </row>
    <row r="16" spans="1:19" x14ac:dyDescent="0.2">
      <c r="A16" t="s">
        <v>37</v>
      </c>
      <c r="B16">
        <v>103.53423100000001</v>
      </c>
      <c r="D16">
        <v>103.254013</v>
      </c>
      <c r="E16">
        <v>33.816544</v>
      </c>
      <c r="G16" t="s">
        <v>37</v>
      </c>
      <c r="H16">
        <f t="shared" si="0"/>
        <v>1</v>
      </c>
      <c r="J16">
        <f t="shared" si="1"/>
        <v>1.0027138703073943</v>
      </c>
      <c r="K16">
        <f t="shared" si="2"/>
        <v>3.0616443537222491</v>
      </c>
      <c r="P16">
        <f t="shared" si="3"/>
        <v>3.1665798143591037</v>
      </c>
    </row>
    <row r="17" spans="1:16" x14ac:dyDescent="0.2">
      <c r="A17" t="s">
        <v>38</v>
      </c>
      <c r="B17">
        <v>23.792214999999999</v>
      </c>
      <c r="D17">
        <v>58.556255</v>
      </c>
      <c r="E17">
        <v>31.948799000000001</v>
      </c>
      <c r="G17" t="s">
        <v>38</v>
      </c>
      <c r="H17">
        <f t="shared" si="0"/>
        <v>1</v>
      </c>
      <c r="J17">
        <f t="shared" si="1"/>
        <v>0.40631380883220758</v>
      </c>
      <c r="K17">
        <f t="shared" si="2"/>
        <v>0.74469825923659905</v>
      </c>
      <c r="P17">
        <f t="shared" si="3"/>
        <v>5.2055215985897751</v>
      </c>
    </row>
    <row r="18" spans="1:16" x14ac:dyDescent="0.2">
      <c r="A18" t="s">
        <v>39</v>
      </c>
      <c r="B18">
        <v>309.00501700000001</v>
      </c>
      <c r="D18">
        <v>419.846924</v>
      </c>
      <c r="E18">
        <v>130.149384</v>
      </c>
      <c r="G18" t="s">
        <v>39</v>
      </c>
      <c r="H18">
        <f t="shared" si="0"/>
        <v>1</v>
      </c>
      <c r="J18">
        <f t="shared" si="1"/>
        <v>0.73599447640588167</v>
      </c>
      <c r="K18">
        <f t="shared" si="2"/>
        <v>2.3742334193452659</v>
      </c>
      <c r="P18">
        <f t="shared" si="3"/>
        <v>6.5070016369879964</v>
      </c>
    </row>
    <row r="19" spans="1:16" x14ac:dyDescent="0.2">
      <c r="A19" t="s">
        <v>40</v>
      </c>
      <c r="B19">
        <v>1153.8013000000001</v>
      </c>
      <c r="D19">
        <v>7440.1669920000004</v>
      </c>
      <c r="E19">
        <v>5674.986328</v>
      </c>
      <c r="G19" t="s">
        <v>40</v>
      </c>
      <c r="H19">
        <f t="shared" si="0"/>
        <v>1</v>
      </c>
      <c r="J19">
        <f t="shared" si="1"/>
        <v>0.15507733915658328</v>
      </c>
      <c r="K19">
        <f t="shared" si="2"/>
        <v>0.20331349422063313</v>
      </c>
      <c r="P19" t="e">
        <f t="shared" si="3"/>
        <v>#DIV/0!</v>
      </c>
    </row>
    <row r="20" spans="1:16" x14ac:dyDescent="0.2">
      <c r="A20" t="s">
        <v>41</v>
      </c>
      <c r="B20">
        <v>1491.075785</v>
      </c>
      <c r="D20">
        <v>1000.076355</v>
      </c>
      <c r="E20">
        <v>350.50393700000001</v>
      </c>
      <c r="G20" t="s">
        <v>41</v>
      </c>
      <c r="H20">
        <f t="shared" si="0"/>
        <v>1</v>
      </c>
      <c r="J20">
        <f t="shared" si="1"/>
        <v>1.4909619426008727</v>
      </c>
      <c r="K20">
        <f t="shared" si="2"/>
        <v>4.2540914026880099</v>
      </c>
      <c r="P20" t="e">
        <f t="shared" si="3"/>
        <v>#DIV/0!</v>
      </c>
    </row>
    <row r="21" spans="1:16" x14ac:dyDescent="0.2">
      <c r="A21" t="s">
        <v>42</v>
      </c>
      <c r="B21">
        <v>725.067454</v>
      </c>
      <c r="D21">
        <v>1750.597534</v>
      </c>
      <c r="E21">
        <v>441.05114700000001</v>
      </c>
      <c r="G21" t="s">
        <v>42</v>
      </c>
      <c r="H21">
        <f t="shared" si="0"/>
        <v>1</v>
      </c>
      <c r="J21">
        <f t="shared" si="1"/>
        <v>0.41418283752706347</v>
      </c>
      <c r="K21">
        <f t="shared" si="2"/>
        <v>1.6439532215976755</v>
      </c>
    </row>
    <row r="22" spans="1:16" x14ac:dyDescent="0.2">
      <c r="A22" t="s">
        <v>43</v>
      </c>
      <c r="B22">
        <v>235.688863</v>
      </c>
      <c r="D22">
        <v>499.71740699999998</v>
      </c>
      <c r="E22">
        <v>170.07615699999999</v>
      </c>
      <c r="G22" t="s">
        <v>43</v>
      </c>
      <c r="H22">
        <f t="shared" si="0"/>
        <v>1</v>
      </c>
      <c r="J22">
        <f t="shared" si="1"/>
        <v>0.47164429275124292</v>
      </c>
      <c r="K22">
        <f t="shared" si="2"/>
        <v>1.3857842695728362</v>
      </c>
    </row>
    <row r="23" spans="1:16" x14ac:dyDescent="0.2">
      <c r="A23" t="s">
        <v>44</v>
      </c>
      <c r="B23">
        <v>260.676963</v>
      </c>
      <c r="D23">
        <v>480.16073599999999</v>
      </c>
      <c r="E23">
        <v>145.95263700000001</v>
      </c>
      <c r="G23" t="s">
        <v>44</v>
      </c>
      <c r="H23">
        <f t="shared" si="0"/>
        <v>1</v>
      </c>
      <c r="J23">
        <f t="shared" si="1"/>
        <v>0.54289520874109953</v>
      </c>
      <c r="K23">
        <f t="shared" si="2"/>
        <v>1.786038048767834</v>
      </c>
    </row>
    <row r="24" spans="1:16" x14ac:dyDescent="0.2">
      <c r="A24" t="s">
        <v>45</v>
      </c>
      <c r="B24">
        <v>138.50842299999999</v>
      </c>
      <c r="D24">
        <v>103.06253100000001</v>
      </c>
      <c r="E24">
        <v>41.684994000000003</v>
      </c>
      <c r="G24" t="s">
        <v>45</v>
      </c>
      <c r="H24">
        <f t="shared" si="0"/>
        <v>1</v>
      </c>
      <c r="J24">
        <f t="shared" si="1"/>
        <v>1.3439260772666255</v>
      </c>
      <c r="K24">
        <f t="shared" si="2"/>
        <v>3.3227406245998257</v>
      </c>
    </row>
    <row r="25" spans="1:16" x14ac:dyDescent="0.2">
      <c r="A25" t="s">
        <v>46</v>
      </c>
      <c r="B25">
        <v>171.383264</v>
      </c>
      <c r="D25">
        <v>65.482749999999996</v>
      </c>
      <c r="E25">
        <v>35.411968000000002</v>
      </c>
      <c r="G25" t="s">
        <v>46</v>
      </c>
      <c r="H25">
        <f t="shared" si="0"/>
        <v>1</v>
      </c>
      <c r="J25">
        <f t="shared" si="1"/>
        <v>2.6172276515570894</v>
      </c>
      <c r="K25">
        <f t="shared" si="2"/>
        <v>4.8396989402001038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B69F-4FBF-2347-BCC3-39A481FAD791}">
  <dimension ref="A1:U26"/>
  <sheetViews>
    <sheetView tabSelected="1" topLeftCell="A10" workbookViewId="0">
      <selection activeCell="G16" sqref="G16"/>
    </sheetView>
  </sheetViews>
  <sheetFormatPr baseColWidth="10" defaultRowHeight="16" x14ac:dyDescent="0.2"/>
  <cols>
    <col min="3" max="3" width="15.5" customWidth="1"/>
    <col min="11" max="11" width="16.6640625" customWidth="1"/>
  </cols>
  <sheetData>
    <row r="1" spans="1:21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Q1" t="s">
        <v>6</v>
      </c>
      <c r="R1" t="s">
        <v>47</v>
      </c>
      <c r="S1" t="s">
        <v>48</v>
      </c>
      <c r="T1" s="2" t="s">
        <v>50</v>
      </c>
      <c r="U1" s="2" t="s">
        <v>49</v>
      </c>
    </row>
    <row r="2" spans="1:21" x14ac:dyDescent="0.2">
      <c r="A2" t="s">
        <v>23</v>
      </c>
      <c r="B2">
        <v>595209.34010100004</v>
      </c>
      <c r="D2">
        <v>92203.25</v>
      </c>
      <c r="E2" s="1">
        <v>25553.558593999998</v>
      </c>
      <c r="I2" t="s">
        <v>23</v>
      </c>
      <c r="J2">
        <f>B2/B2</f>
        <v>1</v>
      </c>
      <c r="L2">
        <f>B2/D2</f>
        <v>6.4554052064433742</v>
      </c>
      <c r="M2">
        <f>B2/E2</f>
        <v>23.292620396157105</v>
      </c>
      <c r="P2" t="s">
        <v>0</v>
      </c>
      <c r="Q2">
        <v>1</v>
      </c>
      <c r="R2">
        <v>0.12</v>
      </c>
      <c r="S2">
        <v>6.4554052064433742</v>
      </c>
      <c r="T2">
        <v>23.292620396157105</v>
      </c>
      <c r="U2">
        <v>21.292620396157101</v>
      </c>
    </row>
    <row r="3" spans="1:21" x14ac:dyDescent="0.2">
      <c r="A3" t="s">
        <v>24</v>
      </c>
      <c r="B3">
        <v>736874.56901700003</v>
      </c>
      <c r="D3">
        <v>433568.28125</v>
      </c>
      <c r="E3" s="1">
        <v>150593.359375</v>
      </c>
      <c r="I3" t="s">
        <v>24</v>
      </c>
      <c r="J3">
        <f t="shared" ref="J3:J25" si="0">B3/B3</f>
        <v>1</v>
      </c>
      <c r="L3">
        <f t="shared" ref="L3:L25" si="1">B3/D3</f>
        <v>1.6995582953913331</v>
      </c>
      <c r="M3">
        <f>B3/E3</f>
        <v>4.8931411854759945</v>
      </c>
      <c r="O3" t="s">
        <v>71</v>
      </c>
      <c r="P3" t="s">
        <v>51</v>
      </c>
      <c r="Q3">
        <v>1</v>
      </c>
      <c r="R3">
        <v>0.51013974900000003</v>
      </c>
      <c r="S3">
        <v>1.6995582953913331</v>
      </c>
      <c r="T3">
        <v>4.8931411854759945</v>
      </c>
      <c r="U3">
        <v>5.0931411854759903</v>
      </c>
    </row>
    <row r="4" spans="1:21" x14ac:dyDescent="0.2">
      <c r="A4" t="s">
        <v>25</v>
      </c>
      <c r="B4">
        <v>40644.647422000002</v>
      </c>
      <c r="D4">
        <v>597.72619599999996</v>
      </c>
      <c r="I4" t="s">
        <v>25</v>
      </c>
      <c r="J4">
        <f t="shared" si="0"/>
        <v>1</v>
      </c>
      <c r="L4">
        <f t="shared" si="1"/>
        <v>67.998772170259713</v>
      </c>
      <c r="M4" t="e">
        <f t="shared" ref="M4:M26" si="2">B4/E4</f>
        <v>#DIV/0!</v>
      </c>
      <c r="O4" t="s">
        <v>72</v>
      </c>
      <c r="P4" t="s">
        <v>54</v>
      </c>
      <c r="Q4">
        <v>1</v>
      </c>
      <c r="R4">
        <v>2.1131038919999998</v>
      </c>
      <c r="S4">
        <v>9.3243236338791</v>
      </c>
      <c r="T4">
        <v>11.484573919738402</v>
      </c>
      <c r="U4">
        <v>10.4845739197384</v>
      </c>
    </row>
    <row r="5" spans="1:21" x14ac:dyDescent="0.2">
      <c r="A5" t="s">
        <v>26</v>
      </c>
      <c r="B5">
        <v>198563.570022</v>
      </c>
      <c r="D5">
        <v>9892.6201170000004</v>
      </c>
      <c r="I5" t="s">
        <v>26</v>
      </c>
      <c r="J5">
        <f t="shared" si="0"/>
        <v>1</v>
      </c>
      <c r="L5">
        <f t="shared" si="1"/>
        <v>20.07188870830872</v>
      </c>
      <c r="M5" t="e">
        <f t="shared" si="2"/>
        <v>#DIV/0!</v>
      </c>
      <c r="P5" t="s">
        <v>52</v>
      </c>
      <c r="Q5">
        <v>1</v>
      </c>
      <c r="R5">
        <v>3.7371908610000002</v>
      </c>
      <c r="S5">
        <v>16.107339584900885</v>
      </c>
      <c r="T5">
        <v>27.260043828104369</v>
      </c>
      <c r="U5">
        <v>25.260043828104401</v>
      </c>
    </row>
    <row r="6" spans="1:21" x14ac:dyDescent="0.2">
      <c r="A6" t="s">
        <v>27</v>
      </c>
      <c r="B6">
        <v>6353.7533649999996</v>
      </c>
      <c r="D6">
        <v>10659.708984000001</v>
      </c>
      <c r="I6" t="s">
        <v>27</v>
      </c>
      <c r="J6">
        <f t="shared" si="0"/>
        <v>1</v>
      </c>
      <c r="L6">
        <f t="shared" si="1"/>
        <v>0.5960531731716926</v>
      </c>
      <c r="M6" t="e">
        <f t="shared" si="2"/>
        <v>#DIV/0!</v>
      </c>
      <c r="P6" t="s">
        <v>53</v>
      </c>
      <c r="Q6">
        <v>1</v>
      </c>
      <c r="R6">
        <v>2.1434341309999998</v>
      </c>
      <c r="S6">
        <v>17.218232991672469</v>
      </c>
      <c r="T6">
        <v>53.484903287123281</v>
      </c>
      <c r="U6">
        <v>54.484903287123302</v>
      </c>
    </row>
    <row r="7" spans="1:21" x14ac:dyDescent="0.2">
      <c r="A7" t="s">
        <v>28</v>
      </c>
      <c r="B7">
        <v>17276.418596</v>
      </c>
      <c r="D7">
        <v>14970.310546999999</v>
      </c>
      <c r="I7" t="s">
        <v>28</v>
      </c>
      <c r="J7">
        <f t="shared" si="0"/>
        <v>1</v>
      </c>
      <c r="L7">
        <f t="shared" si="1"/>
        <v>1.154045438253259</v>
      </c>
      <c r="M7" t="e">
        <f t="shared" si="2"/>
        <v>#DIV/0!</v>
      </c>
      <c r="O7" t="s">
        <v>73</v>
      </c>
      <c r="P7" t="s">
        <v>55</v>
      </c>
      <c r="Q7">
        <v>1</v>
      </c>
      <c r="R7">
        <v>0.93831079399999995</v>
      </c>
      <c r="S7">
        <v>5.3295928769801888</v>
      </c>
      <c r="T7">
        <v>10.32026005745896</v>
      </c>
      <c r="U7">
        <v>9.3202600574590004</v>
      </c>
    </row>
    <row r="8" spans="1:21" x14ac:dyDescent="0.2">
      <c r="A8" t="s">
        <v>29</v>
      </c>
      <c r="B8">
        <v>3354.3732770000001</v>
      </c>
      <c r="D8">
        <v>372.30081200000001</v>
      </c>
      <c r="I8" t="s">
        <v>29</v>
      </c>
      <c r="J8">
        <f t="shared" si="0"/>
        <v>1</v>
      </c>
      <c r="L8">
        <f t="shared" si="1"/>
        <v>9.009846792920774</v>
      </c>
      <c r="M8" t="e">
        <f t="shared" si="2"/>
        <v>#DIV/0!</v>
      </c>
    </row>
    <row r="9" spans="1:21" x14ac:dyDescent="0.2">
      <c r="A9" t="s">
        <v>30</v>
      </c>
      <c r="B9">
        <v>1225.168711</v>
      </c>
      <c r="D9">
        <v>1027.5419919999999</v>
      </c>
      <c r="I9" t="s">
        <v>30</v>
      </c>
      <c r="J9">
        <f t="shared" si="0"/>
        <v>1</v>
      </c>
      <c r="L9">
        <f t="shared" si="1"/>
        <v>1.1923295792664794</v>
      </c>
      <c r="M9" t="e">
        <f t="shared" si="2"/>
        <v>#DIV/0!</v>
      </c>
    </row>
    <row r="10" spans="1:21" x14ac:dyDescent="0.2">
      <c r="A10" t="s">
        <v>31</v>
      </c>
      <c r="I10" t="s">
        <v>31</v>
      </c>
      <c r="J10" t="e">
        <f t="shared" si="0"/>
        <v>#DIV/0!</v>
      </c>
      <c r="L10" t="e">
        <f t="shared" si="1"/>
        <v>#DIV/0!</v>
      </c>
      <c r="M10" t="e">
        <f t="shared" si="2"/>
        <v>#DIV/0!</v>
      </c>
      <c r="R10">
        <f>T2/R2</f>
        <v>194.10516996797588</v>
      </c>
    </row>
    <row r="11" spans="1:21" x14ac:dyDescent="0.2">
      <c r="A11" t="s">
        <v>32</v>
      </c>
      <c r="B11">
        <v>54175.847453000002</v>
      </c>
      <c r="D11">
        <v>3782.0876459999999</v>
      </c>
      <c r="E11" s="1">
        <v>4717.2709960000002</v>
      </c>
      <c r="I11" t="s">
        <v>32</v>
      </c>
      <c r="J11">
        <f t="shared" si="0"/>
        <v>1</v>
      </c>
      <c r="L11">
        <f t="shared" si="1"/>
        <v>14.324323633879109</v>
      </c>
      <c r="M11">
        <f t="shared" si="2"/>
        <v>11.484573919738402</v>
      </c>
      <c r="R11">
        <f t="shared" ref="R11:R20" si="3">T3/R3</f>
        <v>9.5917661681289506</v>
      </c>
    </row>
    <row r="12" spans="1:21" x14ac:dyDescent="0.2">
      <c r="A12" t="s">
        <v>33</v>
      </c>
      <c r="B12">
        <v>3130613.7130200001</v>
      </c>
      <c r="D12">
        <v>194359.453125</v>
      </c>
      <c r="E12" s="1">
        <v>114842.578125</v>
      </c>
      <c r="I12" t="s">
        <v>33</v>
      </c>
      <c r="J12">
        <f t="shared" si="0"/>
        <v>1</v>
      </c>
      <c r="L12">
        <f t="shared" si="1"/>
        <v>16.107339584900885</v>
      </c>
      <c r="M12">
        <f t="shared" si="2"/>
        <v>27.260043828104369</v>
      </c>
      <c r="R12">
        <f t="shared" si="3"/>
        <v>5.4349310335463636</v>
      </c>
    </row>
    <row r="13" spans="1:21" x14ac:dyDescent="0.2">
      <c r="A13" t="s">
        <v>34</v>
      </c>
      <c r="B13">
        <v>1335102.0925070001</v>
      </c>
      <c r="D13">
        <v>876679.875</v>
      </c>
      <c r="I13" t="s">
        <v>34</v>
      </c>
      <c r="J13">
        <f t="shared" si="0"/>
        <v>1</v>
      </c>
      <c r="L13">
        <f t="shared" si="1"/>
        <v>1.5229071986019984</v>
      </c>
      <c r="M13" t="e">
        <f t="shared" si="2"/>
        <v>#DIV/0!</v>
      </c>
      <c r="R13">
        <f t="shared" si="3"/>
        <v>7.2942605400704918</v>
      </c>
    </row>
    <row r="14" spans="1:21" x14ac:dyDescent="0.2">
      <c r="A14" t="s">
        <v>35</v>
      </c>
      <c r="I14" t="s">
        <v>35</v>
      </c>
      <c r="J14" t="e">
        <f t="shared" si="0"/>
        <v>#DIV/0!</v>
      </c>
      <c r="L14" t="e">
        <f t="shared" si="1"/>
        <v>#DIV/0!</v>
      </c>
      <c r="M14" t="e">
        <f t="shared" si="2"/>
        <v>#DIV/0!</v>
      </c>
      <c r="R14">
        <f t="shared" si="3"/>
        <v>24.952902687133374</v>
      </c>
    </row>
    <row r="15" spans="1:21" x14ac:dyDescent="0.2">
      <c r="A15" t="s">
        <v>36</v>
      </c>
      <c r="B15">
        <v>51492.909820000001</v>
      </c>
      <c r="D15">
        <v>24413.244140999999</v>
      </c>
      <c r="I15" t="s">
        <v>36</v>
      </c>
      <c r="J15">
        <f t="shared" si="0"/>
        <v>1</v>
      </c>
      <c r="L15">
        <f t="shared" si="1"/>
        <v>2.1092202872588315</v>
      </c>
      <c r="M15" t="e">
        <f t="shared" si="2"/>
        <v>#DIV/0!</v>
      </c>
      <c r="R15">
        <f t="shared" si="3"/>
        <v>10.998765146315646</v>
      </c>
    </row>
    <row r="16" spans="1:21" x14ac:dyDescent="0.2">
      <c r="A16" t="s">
        <v>37</v>
      </c>
      <c r="B16">
        <v>53778.327777999999</v>
      </c>
      <c r="D16">
        <v>3919.2658689999998</v>
      </c>
      <c r="I16" t="s">
        <v>37</v>
      </c>
      <c r="J16">
        <f t="shared" si="0"/>
        <v>1</v>
      </c>
      <c r="L16">
        <f t="shared" si="1"/>
        <v>13.721530913063964</v>
      </c>
      <c r="M16" t="e">
        <f t="shared" si="2"/>
        <v>#DIV/0!</v>
      </c>
      <c r="R16" t="e">
        <f t="shared" si="3"/>
        <v>#DIV/0!</v>
      </c>
    </row>
    <row r="17" spans="1:18" x14ac:dyDescent="0.2">
      <c r="A17" t="s">
        <v>38</v>
      </c>
      <c r="B17">
        <v>19761.007944000001</v>
      </c>
      <c r="D17">
        <v>8019.4028319999998</v>
      </c>
      <c r="I17" t="s">
        <v>38</v>
      </c>
      <c r="J17">
        <f t="shared" si="0"/>
        <v>1</v>
      </c>
      <c r="L17">
        <f t="shared" si="1"/>
        <v>2.4641495580128754</v>
      </c>
      <c r="M17" t="e">
        <f t="shared" si="2"/>
        <v>#DIV/0!</v>
      </c>
      <c r="R17" t="e">
        <f t="shared" si="3"/>
        <v>#DIV/0!</v>
      </c>
    </row>
    <row r="18" spans="1:18" x14ac:dyDescent="0.2">
      <c r="A18" t="s">
        <v>39</v>
      </c>
      <c r="B18">
        <v>972201.79304799996</v>
      </c>
      <c r="D18">
        <v>1515222.5</v>
      </c>
      <c r="I18" t="s">
        <v>39</v>
      </c>
      <c r="J18">
        <f t="shared" si="0"/>
        <v>1</v>
      </c>
      <c r="L18">
        <f t="shared" si="1"/>
        <v>0.64162312336835015</v>
      </c>
      <c r="M18" t="e">
        <f t="shared" si="2"/>
        <v>#DIV/0!</v>
      </c>
      <c r="R18">
        <f t="shared" si="3"/>
        <v>0</v>
      </c>
    </row>
    <row r="19" spans="1:18" x14ac:dyDescent="0.2">
      <c r="A19" t="s">
        <v>40</v>
      </c>
      <c r="I19" t="s">
        <v>40</v>
      </c>
      <c r="J19" t="e">
        <f t="shared" si="0"/>
        <v>#DIV/0!</v>
      </c>
      <c r="L19" t="e">
        <f t="shared" si="1"/>
        <v>#DIV/0!</v>
      </c>
      <c r="M19" t="e">
        <f t="shared" si="2"/>
        <v>#DIV/0!</v>
      </c>
      <c r="R19">
        <f t="shared" si="3"/>
        <v>0</v>
      </c>
    </row>
    <row r="20" spans="1:18" x14ac:dyDescent="0.2">
      <c r="A20" t="s">
        <v>41</v>
      </c>
      <c r="I20" t="s">
        <v>41</v>
      </c>
      <c r="J20" t="e">
        <f t="shared" si="0"/>
        <v>#DIV/0!</v>
      </c>
      <c r="L20" t="e">
        <f t="shared" si="1"/>
        <v>#DIV/0!</v>
      </c>
      <c r="M20" t="e">
        <f t="shared" si="2"/>
        <v>#DIV/0!</v>
      </c>
      <c r="R20">
        <f t="shared" si="3"/>
        <v>0</v>
      </c>
    </row>
    <row r="21" spans="1:18" x14ac:dyDescent="0.2">
      <c r="A21" t="s">
        <v>42</v>
      </c>
      <c r="I21" t="s">
        <v>42</v>
      </c>
      <c r="J21" t="e">
        <f t="shared" si="0"/>
        <v>#DIV/0!</v>
      </c>
      <c r="L21" t="e">
        <f t="shared" si="1"/>
        <v>#DIV/0!</v>
      </c>
      <c r="M21" t="e">
        <f t="shared" si="2"/>
        <v>#DIV/0!</v>
      </c>
    </row>
    <row r="22" spans="1:18" x14ac:dyDescent="0.2">
      <c r="A22" t="s">
        <v>43</v>
      </c>
      <c r="B22">
        <v>865671.30827699997</v>
      </c>
      <c r="I22" t="s">
        <v>43</v>
      </c>
      <c r="J22">
        <f t="shared" si="0"/>
        <v>1</v>
      </c>
      <c r="L22" t="e">
        <f t="shared" si="1"/>
        <v>#DIV/0!</v>
      </c>
      <c r="M22" t="e">
        <f t="shared" si="2"/>
        <v>#DIV/0!</v>
      </c>
    </row>
    <row r="23" spans="1:18" x14ac:dyDescent="0.2">
      <c r="A23" t="s">
        <v>44</v>
      </c>
      <c r="I23" t="s">
        <v>44</v>
      </c>
      <c r="J23" t="e">
        <f t="shared" si="0"/>
        <v>#DIV/0!</v>
      </c>
      <c r="L23" t="e">
        <f t="shared" si="1"/>
        <v>#DIV/0!</v>
      </c>
      <c r="M23" t="e">
        <f t="shared" si="2"/>
        <v>#DIV/0!</v>
      </c>
    </row>
    <row r="24" spans="1:18" x14ac:dyDescent="0.2">
      <c r="A24" t="s">
        <v>45</v>
      </c>
      <c r="B24">
        <v>902519.50960800005</v>
      </c>
      <c r="D24">
        <v>52416.5</v>
      </c>
      <c r="E24" s="1">
        <v>16874.285156000002</v>
      </c>
      <c r="I24" t="s">
        <v>45</v>
      </c>
      <c r="J24">
        <f t="shared" si="0"/>
        <v>1</v>
      </c>
      <c r="L24">
        <f t="shared" si="1"/>
        <v>17.218232991672469</v>
      </c>
      <c r="M24">
        <f t="shared" si="2"/>
        <v>53.484903287123281</v>
      </c>
    </row>
    <row r="25" spans="1:18" x14ac:dyDescent="0.2">
      <c r="A25" t="s">
        <v>46</v>
      </c>
      <c r="B25">
        <v>341496.59903099999</v>
      </c>
      <c r="D25">
        <v>64075.550780999998</v>
      </c>
      <c r="E25" s="1">
        <v>33089.921875</v>
      </c>
      <c r="I25" t="s">
        <v>46</v>
      </c>
      <c r="J25">
        <f t="shared" si="0"/>
        <v>1</v>
      </c>
      <c r="L25">
        <f t="shared" si="1"/>
        <v>5.3295928769801888</v>
      </c>
      <c r="M25">
        <f t="shared" si="2"/>
        <v>10.32026005745896</v>
      </c>
    </row>
    <row r="26" spans="1:18" x14ac:dyDescent="0.2">
      <c r="M26" t="e">
        <f t="shared" si="2"/>
        <v>#DIV/0!</v>
      </c>
    </row>
  </sheetData>
  <sortState xmlns:xlrd2="http://schemas.microsoft.com/office/spreadsheetml/2017/richdata2" ref="I3:AQ66">
    <sortCondition ref="I3:I66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ED31-F327-3740-8403-185F4F8145E4}">
  <dimension ref="A1:R19"/>
  <sheetViews>
    <sheetView workbookViewId="0">
      <selection activeCell="R8" sqref="R8"/>
    </sheetView>
  </sheetViews>
  <sheetFormatPr baseColWidth="10" defaultRowHeight="16" x14ac:dyDescent="0.2"/>
  <sheetData>
    <row r="1" spans="1:18" x14ac:dyDescent="0.2">
      <c r="B1" t="s">
        <v>6</v>
      </c>
      <c r="C1" t="s">
        <v>7</v>
      </c>
      <c r="D1" t="s">
        <v>8</v>
      </c>
      <c r="E1" t="s">
        <v>9</v>
      </c>
      <c r="F1" t="s">
        <v>10</v>
      </c>
      <c r="N1" t="s">
        <v>6</v>
      </c>
      <c r="O1" t="s">
        <v>47</v>
      </c>
      <c r="P1" t="s">
        <v>48</v>
      </c>
      <c r="Q1" s="2" t="s">
        <v>50</v>
      </c>
      <c r="R1" s="2" t="s">
        <v>49</v>
      </c>
    </row>
    <row r="2" spans="1:18" x14ac:dyDescent="0.2">
      <c r="A2" t="s">
        <v>0</v>
      </c>
      <c r="M2" t="s">
        <v>0</v>
      </c>
      <c r="N2">
        <v>1</v>
      </c>
      <c r="O2">
        <v>0.12</v>
      </c>
      <c r="P2">
        <v>8.4554052064433698</v>
      </c>
      <c r="Q2">
        <v>18.292620396157101</v>
      </c>
      <c r="R2">
        <v>20.292620396157101</v>
      </c>
    </row>
    <row r="3" spans="1:18" x14ac:dyDescent="0.2">
      <c r="A3" t="s">
        <v>1</v>
      </c>
      <c r="M3" t="s">
        <v>51</v>
      </c>
      <c r="N3">
        <v>1</v>
      </c>
      <c r="O3">
        <v>0.91013974900000005</v>
      </c>
      <c r="P3">
        <v>4.6995582953913297</v>
      </c>
      <c r="Q3">
        <v>8.8931411854759901</v>
      </c>
      <c r="R3">
        <v>6.0931411854759903</v>
      </c>
    </row>
    <row r="4" spans="1:18" x14ac:dyDescent="0.2">
      <c r="A4" t="s">
        <v>2</v>
      </c>
      <c r="M4" t="s">
        <v>54</v>
      </c>
      <c r="N4">
        <v>1</v>
      </c>
      <c r="O4">
        <v>1.113103892</v>
      </c>
      <c r="P4">
        <v>7.3243236338791</v>
      </c>
      <c r="Q4">
        <v>14.4845739197384</v>
      </c>
      <c r="R4">
        <v>13.4845739197384</v>
      </c>
    </row>
    <row r="5" spans="1:18" x14ac:dyDescent="0.2">
      <c r="A5" t="s">
        <v>3</v>
      </c>
      <c r="M5" t="s">
        <v>52</v>
      </c>
      <c r="N5">
        <v>1</v>
      </c>
      <c r="O5">
        <v>2.7371908610000002</v>
      </c>
      <c r="P5">
        <v>15.107339584900901</v>
      </c>
      <c r="Q5">
        <v>32.260043828104401</v>
      </c>
      <c r="R5">
        <v>31.260043828104401</v>
      </c>
    </row>
    <row r="6" spans="1:18" x14ac:dyDescent="0.2">
      <c r="A6" t="s">
        <v>4</v>
      </c>
      <c r="M6" t="s">
        <v>53</v>
      </c>
      <c r="N6">
        <v>1</v>
      </c>
      <c r="O6">
        <v>1.143434131</v>
      </c>
      <c r="P6">
        <v>17.218232991672469</v>
      </c>
      <c r="Q6">
        <v>27.484903287123299</v>
      </c>
      <c r="R6">
        <v>28.484903287123299</v>
      </c>
    </row>
    <row r="7" spans="1:18" x14ac:dyDescent="0.2">
      <c r="A7" t="s">
        <v>5</v>
      </c>
      <c r="M7" t="s">
        <v>55</v>
      </c>
      <c r="N7">
        <v>1</v>
      </c>
      <c r="O7">
        <v>0.73831079399999999</v>
      </c>
      <c r="P7">
        <v>5.3295928769801888</v>
      </c>
      <c r="Q7">
        <v>14.320260057459</v>
      </c>
      <c r="R7">
        <v>12.320260057459</v>
      </c>
    </row>
    <row r="10" spans="1:18" x14ac:dyDescent="0.2">
      <c r="O10">
        <f>Q2/O2</f>
        <v>152.43850330130917</v>
      </c>
      <c r="P10">
        <f>R2/P2</f>
        <v>2.3999583580800223</v>
      </c>
    </row>
    <row r="11" spans="1:18" x14ac:dyDescent="0.2">
      <c r="O11">
        <f t="shared" ref="O11:O19" si="0">Q3/O3</f>
        <v>9.7711820577523092</v>
      </c>
      <c r="P11">
        <f t="shared" ref="P11:P17" si="1">R3/P3</f>
        <v>1.2965348661492915</v>
      </c>
    </row>
    <row r="12" spans="1:18" x14ac:dyDescent="0.2">
      <c r="O12">
        <f t="shared" si="0"/>
        <v>13.012778073853326</v>
      </c>
      <c r="P12">
        <f t="shared" si="1"/>
        <v>1.8410674614874596</v>
      </c>
    </row>
    <row r="13" spans="1:18" x14ac:dyDescent="0.2">
      <c r="O13">
        <f t="shared" si="0"/>
        <v>11.785821839372421</v>
      </c>
      <c r="P13">
        <f t="shared" si="1"/>
        <v>2.0691958138908451</v>
      </c>
    </row>
    <row r="14" spans="1:18" x14ac:dyDescent="0.2">
      <c r="O14">
        <f t="shared" si="0"/>
        <v>24.037154867054863</v>
      </c>
      <c r="P14">
        <f t="shared" si="1"/>
        <v>1.6543453268927137</v>
      </c>
    </row>
    <row r="15" spans="1:18" x14ac:dyDescent="0.2">
      <c r="O15">
        <f t="shared" si="0"/>
        <v>19.395978189449309</v>
      </c>
      <c r="P15">
        <f t="shared" si="1"/>
        <v>2.3116700171739586</v>
      </c>
    </row>
    <row r="16" spans="1:18" x14ac:dyDescent="0.2">
      <c r="O16" t="e">
        <f t="shared" si="0"/>
        <v>#DIV/0!</v>
      </c>
      <c r="P16" t="e">
        <f t="shared" si="1"/>
        <v>#DIV/0!</v>
      </c>
    </row>
    <row r="17" spans="15:16" x14ac:dyDescent="0.2">
      <c r="O17" t="e">
        <f t="shared" si="0"/>
        <v>#DIV/0!</v>
      </c>
      <c r="P17" t="e">
        <f t="shared" si="1"/>
        <v>#DIV/0!</v>
      </c>
    </row>
    <row r="18" spans="15:16" x14ac:dyDescent="0.2">
      <c r="O18">
        <f t="shared" si="0"/>
        <v>0</v>
      </c>
    </row>
    <row r="19" spans="15:16" x14ac:dyDescent="0.2">
      <c r="O19">
        <f t="shared" si="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SampligRatio</vt:lpstr>
      <vt:lpstr>KHopsNeighbor</vt:lpstr>
      <vt:lpstr>多GPU</vt:lpstr>
      <vt:lpstr>Orkut</vt:lpstr>
      <vt:lpstr>Friendster</vt:lpstr>
      <vt:lpstr>SF3K</vt:lpstr>
      <vt:lpstr>SF10k</vt:lpstr>
      <vt:lpstr>Graph500-28</vt:lpstr>
      <vt:lpstr>Twitter-mpi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2023-04-03T05:45:48Z</dcterms:created>
  <dcterms:modified xsi:type="dcterms:W3CDTF">2023-07-24T01:33:30Z</dcterms:modified>
</cp:coreProperties>
</file>