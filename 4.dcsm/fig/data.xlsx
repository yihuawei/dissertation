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DCSM2Paper/fig/"/>
    </mc:Choice>
  </mc:AlternateContent>
  <xr:revisionPtr revIDLastSave="0" documentId="13_ncr:1_{E111BD99-724B-4A4B-82C8-48C28C6092AB}" xr6:coauthVersionLast="47" xr6:coauthVersionMax="47" xr10:uidLastSave="{00000000-0000-0000-0000-000000000000}"/>
  <bookViews>
    <workbookView xWindow="0" yWindow="780" windowWidth="34200" windowHeight="19500" firstSheet="2" activeTab="5" xr2:uid="{6C1AF5A0-7256-2C4A-BBE9-258A8542A43F}"/>
  </bookViews>
  <sheets>
    <sheet name="Graph" sheetId="1" r:id="rId1"/>
    <sheet name="Overalldata" sheetId="3" r:id="rId2"/>
    <sheet name="Sheet1" sheetId="7" r:id="rId3"/>
    <sheet name="Sheet2" sheetId="8" r:id="rId4"/>
    <sheet name="Overall" sheetId="2" r:id="rId5"/>
    <sheet name="GCSMdata" sheetId="4" r:id="rId6"/>
    <sheet name="Response" sheetId="10" r:id="rId7"/>
    <sheet name="Ablation Study" sheetId="5" r:id="rId8"/>
    <sheet name="Occupancy" sheetId="6" r:id="rId9"/>
    <sheet name="Sheet3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4" l="1"/>
  <c r="E31" i="4"/>
  <c r="F31" i="4"/>
  <c r="G31" i="4"/>
  <c r="H31" i="4"/>
  <c r="I31" i="4"/>
  <c r="J31" i="4"/>
  <c r="K31" i="4"/>
  <c r="I27" i="4"/>
  <c r="D12" i="10"/>
  <c r="E12" i="10"/>
  <c r="F12" i="10"/>
  <c r="G12" i="10"/>
  <c r="H12" i="10"/>
  <c r="I12" i="10"/>
  <c r="J12" i="10"/>
  <c r="K12" i="10"/>
  <c r="L12" i="10"/>
  <c r="M12" i="10"/>
  <c r="C12" i="10"/>
  <c r="E28" i="4"/>
  <c r="M14" i="3"/>
  <c r="K14" i="4"/>
  <c r="K15" i="4"/>
  <c r="K16" i="4"/>
  <c r="K17" i="4"/>
  <c r="K18" i="4"/>
  <c r="K13" i="4"/>
  <c r="K4" i="4"/>
  <c r="K5" i="4"/>
  <c r="K6" i="4"/>
  <c r="K3" i="4"/>
  <c r="Y23" i="3"/>
  <c r="M15" i="3"/>
  <c r="L32" i="5"/>
  <c r="L33" i="5"/>
  <c r="L34" i="5"/>
  <c r="L35" i="5"/>
  <c r="L31" i="5"/>
  <c r="L19" i="5"/>
  <c r="L20" i="5"/>
  <c r="L21" i="5"/>
  <c r="L22" i="5"/>
  <c r="L18" i="5"/>
  <c r="F38" i="5"/>
  <c r="F37" i="5"/>
  <c r="F36" i="5"/>
  <c r="F35" i="5"/>
  <c r="F34" i="5"/>
  <c r="F21" i="5"/>
  <c r="F22" i="5"/>
  <c r="F23" i="5"/>
  <c r="F24" i="5"/>
  <c r="F20" i="5"/>
  <c r="D21" i="5"/>
  <c r="D22" i="5"/>
  <c r="D23" i="5"/>
  <c r="D24" i="5"/>
  <c r="D25" i="5"/>
  <c r="D20" i="5"/>
  <c r="C25" i="5"/>
  <c r="C35" i="5"/>
  <c r="C36" i="5"/>
  <c r="C37" i="5"/>
  <c r="C38" i="5"/>
  <c r="C34" i="5"/>
  <c r="C21" i="5"/>
  <c r="C22" i="5"/>
  <c r="C23" i="5"/>
  <c r="C24" i="5"/>
  <c r="C20" i="5"/>
  <c r="D40" i="5"/>
  <c r="D35" i="5"/>
  <c r="D36" i="5"/>
  <c r="D37" i="5"/>
  <c r="D38" i="5"/>
  <c r="D39" i="5"/>
  <c r="D34" i="5"/>
  <c r="Y18" i="3"/>
  <c r="Y19" i="3"/>
  <c r="Y20" i="3"/>
  <c r="Y21" i="3"/>
  <c r="Y22" i="3"/>
  <c r="Y17" i="3"/>
  <c r="AB17" i="3"/>
  <c r="AC17" i="3"/>
  <c r="AA17" i="3"/>
  <c r="AB16" i="3"/>
  <c r="AC16" i="3"/>
  <c r="AA16" i="3"/>
  <c r="Q22" i="3"/>
  <c r="R22" i="3"/>
  <c r="S22" i="3"/>
  <c r="U22" i="3"/>
  <c r="V22" i="3"/>
  <c r="W22" i="3"/>
  <c r="X22" i="3"/>
  <c r="P22" i="3"/>
  <c r="Q21" i="3"/>
  <c r="R21" i="3"/>
  <c r="S21" i="3"/>
  <c r="T21" i="3"/>
  <c r="U21" i="3"/>
  <c r="V21" i="3"/>
  <c r="W21" i="3"/>
  <c r="X21" i="3"/>
  <c r="P21" i="3"/>
  <c r="M12" i="3"/>
  <c r="M13" i="3"/>
  <c r="D12" i="3"/>
  <c r="E12" i="3"/>
  <c r="F12" i="3"/>
  <c r="G12" i="3"/>
  <c r="H12" i="3"/>
  <c r="I12" i="3"/>
  <c r="J12" i="3"/>
  <c r="K12" i="3"/>
  <c r="L12" i="3"/>
  <c r="D13" i="3"/>
  <c r="E13" i="3"/>
  <c r="F13" i="3"/>
  <c r="G13" i="3"/>
  <c r="H13" i="3"/>
  <c r="I13" i="3"/>
  <c r="J13" i="3"/>
  <c r="K13" i="3"/>
  <c r="L13" i="3"/>
  <c r="D14" i="3"/>
  <c r="E14" i="3"/>
  <c r="F14" i="3"/>
  <c r="G14" i="3"/>
  <c r="H14" i="3"/>
  <c r="I14" i="3"/>
  <c r="J14" i="3"/>
  <c r="K14" i="3"/>
  <c r="L14" i="3"/>
  <c r="D28" i="4"/>
  <c r="F28" i="4"/>
  <c r="G28" i="4"/>
  <c r="H28" i="4"/>
  <c r="I28" i="4"/>
  <c r="J28" i="4"/>
  <c r="K28" i="4"/>
  <c r="E27" i="4"/>
  <c r="F27" i="4"/>
  <c r="G27" i="4"/>
  <c r="H27" i="4"/>
  <c r="J27" i="4"/>
  <c r="K27" i="4"/>
  <c r="D27" i="4"/>
  <c r="K19" i="4" l="1"/>
  <c r="Q20" i="3"/>
  <c r="R20" i="3"/>
  <c r="S20" i="3"/>
  <c r="T20" i="3"/>
  <c r="U20" i="3"/>
  <c r="P20" i="3"/>
  <c r="Q19" i="3"/>
  <c r="R19" i="3"/>
  <c r="S19" i="3"/>
  <c r="T19" i="3"/>
  <c r="U19" i="3"/>
  <c r="V19" i="3"/>
  <c r="W19" i="3"/>
  <c r="X19" i="3"/>
  <c r="P19" i="3"/>
  <c r="Q18" i="3"/>
  <c r="R18" i="3"/>
  <c r="S18" i="3"/>
  <c r="T18" i="3"/>
  <c r="U18" i="3"/>
  <c r="V18" i="3"/>
  <c r="W18" i="3"/>
  <c r="X18" i="3"/>
  <c r="P18" i="3"/>
  <c r="Q17" i="3"/>
  <c r="R17" i="3"/>
  <c r="S17" i="3"/>
  <c r="T17" i="3"/>
  <c r="U17" i="3"/>
  <c r="V17" i="3"/>
  <c r="W17" i="3"/>
  <c r="X17" i="3"/>
  <c r="P17" i="3"/>
  <c r="L11" i="3"/>
  <c r="E11" i="3"/>
  <c r="F11" i="3"/>
  <c r="I11" i="3"/>
  <c r="J11" i="3"/>
  <c r="K11" i="3"/>
  <c r="D11" i="3"/>
  <c r="M11" i="3" s="1"/>
  <c r="P56" i="3"/>
  <c r="Q56" i="3"/>
  <c r="R56" i="3"/>
  <c r="S56" i="3"/>
  <c r="T56" i="3"/>
  <c r="U56" i="3"/>
  <c r="V56" i="3"/>
  <c r="W56" i="3"/>
  <c r="X56" i="3"/>
  <c r="P57" i="3"/>
  <c r="Q57" i="3"/>
  <c r="R57" i="3"/>
  <c r="S57" i="3"/>
  <c r="T57" i="3"/>
  <c r="U57" i="3"/>
  <c r="V57" i="3"/>
  <c r="W57" i="3"/>
  <c r="X57" i="3"/>
  <c r="P58" i="3"/>
  <c r="Q58" i="3"/>
  <c r="R58" i="3"/>
  <c r="S58" i="3"/>
  <c r="T58" i="3"/>
  <c r="U58" i="3"/>
  <c r="V58" i="3"/>
  <c r="W58" i="3"/>
  <c r="X58" i="3"/>
  <c r="Q55" i="3"/>
  <c r="R55" i="3"/>
  <c r="S55" i="3"/>
  <c r="T55" i="3"/>
  <c r="U55" i="3"/>
  <c r="V55" i="3"/>
  <c r="W55" i="3"/>
  <c r="X55" i="3"/>
  <c r="P55" i="3"/>
  <c r="G50" i="3"/>
  <c r="F50" i="3"/>
  <c r="E50" i="3"/>
  <c r="D50" i="3"/>
  <c r="L47" i="3"/>
  <c r="K47" i="3"/>
  <c r="J47" i="3"/>
  <c r="I47" i="3"/>
  <c r="H47" i="3"/>
  <c r="G47" i="3"/>
  <c r="F47" i="3"/>
  <c r="E47" i="3"/>
  <c r="D47" i="3"/>
  <c r="L44" i="3"/>
  <c r="K44" i="3"/>
  <c r="J44" i="3"/>
  <c r="I44" i="3"/>
  <c r="H44" i="3"/>
  <c r="G44" i="3"/>
  <c r="F44" i="3"/>
  <c r="E44" i="3"/>
  <c r="D44" i="3"/>
  <c r="L41" i="3"/>
  <c r="K41" i="3"/>
  <c r="J41" i="3"/>
  <c r="I41" i="3"/>
  <c r="H41" i="3"/>
  <c r="G41" i="3"/>
  <c r="F41" i="3"/>
  <c r="E41" i="3"/>
  <c r="D41" i="3"/>
  <c r="L38" i="3"/>
  <c r="K38" i="3"/>
  <c r="J38" i="3"/>
  <c r="I38" i="3"/>
  <c r="H38" i="3"/>
  <c r="G38" i="3"/>
  <c r="F38" i="3"/>
  <c r="E38" i="3"/>
  <c r="D38" i="3"/>
  <c r="L33" i="3"/>
  <c r="K33" i="3"/>
  <c r="J33" i="3"/>
  <c r="I33" i="3"/>
  <c r="H33" i="3"/>
  <c r="G33" i="3"/>
  <c r="F33" i="3"/>
  <c r="E33" i="3"/>
  <c r="D33" i="3"/>
  <c r="L30" i="3"/>
  <c r="K30" i="3"/>
  <c r="J30" i="3"/>
  <c r="I30" i="3"/>
  <c r="H30" i="3"/>
  <c r="G30" i="3"/>
  <c r="F30" i="3"/>
  <c r="E30" i="3"/>
  <c r="D30" i="3"/>
  <c r="L27" i="3"/>
  <c r="K27" i="3"/>
  <c r="J27" i="3"/>
  <c r="I27" i="3"/>
  <c r="H27" i="3"/>
  <c r="G27" i="3"/>
  <c r="F27" i="3"/>
  <c r="E27" i="3"/>
  <c r="D27" i="3"/>
  <c r="L24" i="3"/>
  <c r="K24" i="3"/>
  <c r="J24" i="3"/>
  <c r="I24" i="3"/>
  <c r="H24" i="3"/>
  <c r="G24" i="3"/>
  <c r="F24" i="3"/>
  <c r="E24" i="3"/>
  <c r="D24" i="3"/>
</calcChain>
</file>

<file path=xl/sharedStrings.xml><?xml version="1.0" encoding="utf-8"?>
<sst xmlns="http://schemas.openxmlformats.org/spreadsheetml/2006/main" count="575" uniqueCount="163">
  <si>
    <t>Abbr.</t>
  </si>
  <si>
    <t># nodes</t>
  </si>
  <si>
    <t># edges</t>
  </si>
  <si>
    <t>Max deg.</t>
  </si>
  <si>
    <t>DBLP</t>
  </si>
  <si>
    <t>db</t>
  </si>
  <si>
    <t>317K</t>
  </si>
  <si>
    <t>1.0M</t>
  </si>
  <si>
    <t>Amazon</t>
  </si>
  <si>
    <t>az</t>
  </si>
  <si>
    <t>334K</t>
  </si>
  <si>
    <t>0.9M</t>
  </si>
  <si>
    <t>pt</t>
  </si>
  <si>
    <t>LiveJournal</t>
  </si>
  <si>
    <t>lj</t>
  </si>
  <si>
    <t>4.0M</t>
  </si>
  <si>
    <t>34.7M</t>
  </si>
  <si>
    <t>Enron</t>
  </si>
  <si>
    <t>Netflow</t>
  </si>
  <si>
    <t>LSBench</t>
  </si>
  <si>
    <t>lb</t>
  </si>
  <si>
    <t>s</t>
  </si>
  <si>
    <t>3.1M</t>
  </si>
  <si>
    <t>2.9M</t>
  </si>
  <si>
    <t>0.2M</t>
  </si>
  <si>
    <t>5.2M</t>
  </si>
  <si>
    <t>20.3M</t>
  </si>
  <si>
    <t>2.3M</t>
  </si>
  <si>
    <t>37K</t>
  </si>
  <si>
    <t>183K</t>
  </si>
  <si>
    <t>Graphs</t>
  </si>
  <si>
    <t>Graph</t>
  </si>
  <si>
    <t>en</t>
  </si>
  <si>
    <t>nf</t>
  </si>
  <si>
    <t>Query</t>
  </si>
  <si>
    <t>DCSM</t>
  </si>
  <si>
    <t>NewSP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</si>
  <si>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</si>
  <si>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</si>
  <si>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</si>
  <si>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</si>
  <si>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</si>
  <si>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</si>
  <si>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</si>
  <si>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</si>
  <si>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</si>
  <si>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\Graph</t>
  </si>
  <si>
    <t>GCSM</t>
  </si>
  <si>
    <t>Unlabeled</t>
  </si>
  <si>
    <t>Unlabel</t>
  </si>
  <si>
    <t>tailed_triangle</t>
  </si>
  <si>
    <t>rectangle</t>
  </si>
  <si>
    <t>diamond</t>
  </si>
  <si>
    <t>house</t>
  </si>
  <si>
    <t>petagon</t>
  </si>
  <si>
    <t>triangle</t>
  </si>
  <si>
    <t>wedge</t>
  </si>
  <si>
    <t>4path</t>
  </si>
  <si>
    <t>3star</t>
  </si>
  <si>
    <t>-</t>
  </si>
  <si>
    <t>labeled</t>
  </si>
  <si>
    <t>LJ</t>
  </si>
  <si>
    <t>1.1s</t>
  </si>
  <si>
    <t>5.1s</t>
  </si>
  <si>
    <t>48s</t>
  </si>
  <si>
    <t>45s</t>
  </si>
  <si>
    <t>415s</t>
  </si>
  <si>
    <t>5.9s</t>
  </si>
  <si>
    <t>77s</t>
  </si>
  <si>
    <t>1.3s</t>
  </si>
  <si>
    <t>6.3s</t>
  </si>
  <si>
    <t>1753s</t>
  </si>
  <si>
    <t>33s</t>
  </si>
  <si>
    <t>9953s</t>
  </si>
  <si>
    <t>80s</t>
  </si>
  <si>
    <t>22.8s</t>
  </si>
  <si>
    <t>2625s</t>
  </si>
  <si>
    <t>252s</t>
  </si>
  <si>
    <t>78s</t>
  </si>
  <si>
    <t>333s</t>
  </si>
  <si>
    <t>6.2s</t>
  </si>
  <si>
    <t>111s</t>
  </si>
  <si>
    <t>22s</t>
  </si>
  <si>
    <t>4988s</t>
  </si>
  <si>
    <t>2843s</t>
  </si>
  <si>
    <t>2825s</t>
  </si>
  <si>
    <t>17s</t>
  </si>
  <si>
    <t>2.9s</t>
  </si>
  <si>
    <t>26s</t>
  </si>
  <si>
    <t>3.8s</t>
  </si>
  <si>
    <t>1284s</t>
  </si>
  <si>
    <t>3.3s</t>
  </si>
  <si>
    <t>39s</t>
  </si>
  <si>
    <t>3.5s</t>
  </si>
  <si>
    <t>11s</t>
  </si>
  <si>
    <t>0.4s</t>
  </si>
  <si>
    <t>18s</t>
  </si>
  <si>
    <t>12s</t>
  </si>
  <si>
    <t>Batch Size</t>
  </si>
  <si>
    <t>All</t>
  </si>
  <si>
    <t>Index</t>
  </si>
  <si>
    <t>1 GPU</t>
  </si>
  <si>
    <t>2 GPU</t>
  </si>
  <si>
    <t>4 GPU</t>
  </si>
  <si>
    <t>8 GPU</t>
  </si>
  <si>
    <t>1K</t>
  </si>
  <si>
    <t>2K</t>
  </si>
  <si>
    <t>4K</t>
  </si>
  <si>
    <t>8K</t>
  </si>
  <si>
    <t>az Q1</t>
  </si>
  <si>
    <t>db Q2</t>
  </si>
  <si>
    <t>lb Q7</t>
  </si>
  <si>
    <t>lj Q8</t>
  </si>
  <si>
    <t>Loop Coalesce</t>
  </si>
  <si>
    <t>Shadow Mem</t>
  </si>
  <si>
    <t>Loop Fusion</t>
  </si>
  <si>
    <t>Labeled Q1</t>
  </si>
  <si>
    <t>Labeled Q3</t>
  </si>
  <si>
    <t>ls</t>
  </si>
  <si>
    <t>Unlabeled Q8</t>
  </si>
  <si>
    <t>Unlabeled Q7</t>
  </si>
  <si>
    <t>Loop Elimination</t>
  </si>
  <si>
    <t>GPU</t>
  </si>
  <si>
    <t>Inter-Warp</t>
  </si>
  <si>
    <t>Labeled Q7</t>
  </si>
  <si>
    <t>Pruning</t>
  </si>
  <si>
    <t>Intra-Warp</t>
  </si>
  <si>
    <t>Labeled Q8</t>
  </si>
  <si>
    <t>Intra-warp</t>
  </si>
  <si>
    <t>GPU naïve</t>
  </si>
  <si>
    <t>GCSM</t>
    <phoneticPr fontId="6" type="noConversion"/>
  </si>
  <si>
    <t>GAMMA</t>
    <phoneticPr fontId="6" type="noConversion"/>
  </si>
  <si>
    <t>Work Stealing</t>
    <phoneticPr fontId="6" type="noConversion"/>
  </si>
  <si>
    <t>Avg Time</t>
    <phoneticPr fontId="6" type="noConversion"/>
  </si>
  <si>
    <t>Dyn Scheduling</t>
    <phoneticPr fontId="6" type="noConversion"/>
  </si>
  <si>
    <t>Warp Centric</t>
    <phoneticPr fontId="6" type="noConversion"/>
  </si>
  <si>
    <t>✓</t>
  </si>
  <si>
    <t>x</t>
    <phoneticPr fontId="6" type="noConversion"/>
  </si>
  <si>
    <t>Coalesced Search</t>
    <phoneticPr fontId="6" type="noConversion"/>
  </si>
  <si>
    <t>GPU-Best</t>
    <phoneticPr fontId="6" type="noConversion"/>
  </si>
  <si>
    <t>CodeGen</t>
    <phoneticPr fontId="6" type="noConversion"/>
  </si>
  <si>
    <t>en/rectangle</t>
  </si>
  <si>
    <t>en/diamond</t>
  </si>
  <si>
    <t>en/house</t>
  </si>
  <si>
    <t>en/triangle</t>
  </si>
  <si>
    <t>az/rectangle</t>
  </si>
  <si>
    <t>az/diamond</t>
  </si>
  <si>
    <t>az/house</t>
  </si>
  <si>
    <t>az/triangle</t>
  </si>
  <si>
    <t>总时长</t>
  </si>
  <si>
    <t>平均时长</t>
  </si>
  <si>
    <t>lj-q5</t>
  </si>
  <si>
    <t>nf-diamond</t>
  </si>
  <si>
    <t>0.7m</t>
  </si>
  <si>
    <t>1.5m</t>
  </si>
  <si>
    <t>3.1m</t>
  </si>
  <si>
    <t>6.2m</t>
  </si>
  <si>
    <t>12.5m</t>
  </si>
  <si>
    <t>25m</t>
  </si>
  <si>
    <t>GCSM-300</t>
  </si>
  <si>
    <t>GCSM-1000</t>
  </si>
  <si>
    <t>GCSM-5000</t>
  </si>
  <si>
    <t>GCSM-10000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</si>
</sst>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  <font>
      <sz val="11"/>
      <color rgb="FF00000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0" fontId="0" fillId="0" borderId="0" xfId="0" applyNumberFormat="1"/>
    <xf numFmtId="0" fontId="7" fillId="0" borderId="2" xfId="0" applyFont="1" applyBorder="1"/>
    <xf numFmtId="0" fontId="0" fillId="0" borderId="1" xfId="0" applyBorder="1"/>
    <xf numFmtId="0" fontId="0" fillId="0" borderId="14" xfId="0" applyBorder="1"/>
    <xf numFmtId="0" fontId="0" fillId="0" borderId="13" xfId="0" applyBorder="1"/>
    <xf numFmtId="0" fontId="7" fillId="0" borderId="8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3" xfId="0" applyFont="1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8" fillId="0" borderId="0" xfId="0" applyFont="1"/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602580927384077"/>
          <c:y val="7.3484299702377159E-2"/>
          <c:w val="0.65797769028871389"/>
          <c:h val="0.73721806172845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GPU naïve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252</c:v>
                </c:pt>
                <c:pt idx="1">
                  <c:v>372</c:v>
                </c:pt>
                <c:pt idx="2">
                  <c:v>277</c:v>
                </c:pt>
                <c:pt idx="3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6-1240-8869-7D57D8137D1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Intra-Warp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540</c:v>
                </c:pt>
                <c:pt idx="1">
                  <c:v>573</c:v>
                </c:pt>
                <c:pt idx="2">
                  <c:v>496</c:v>
                </c:pt>
                <c:pt idx="3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6-1240-8869-7D57D813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244367"/>
        <c:axId val="785481887"/>
      </c:barChart>
      <c:catAx>
        <c:axId val="7862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81887"/>
        <c:crosses val="autoZero"/>
        <c:auto val="1"/>
        <c:lblAlgn val="ctr"/>
        <c:lblOffset val="100"/>
        <c:noMultiLvlLbl val="0"/>
      </c:catAx>
      <c:valAx>
        <c:axId val="785481887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443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328772784617393"/>
          <c:y val="6.5033923609888605E-2"/>
          <c:w val="0.50919476225692784"/>
          <c:h val="0.12727179935841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047025371828523"/>
          <c:y val="9.7141294838145237E-2"/>
          <c:w val="0.66075546806649166"/>
          <c:h val="0.71819043452901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GPU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Sheet1!$J$2:$J$5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252</c:v>
                </c:pt>
                <c:pt idx="1">
                  <c:v>372</c:v>
                </c:pt>
                <c:pt idx="2">
                  <c:v>277</c:v>
                </c:pt>
                <c:pt idx="3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6-1240-8869-7D57D8137D1C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Intra-warp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Sheet1!$J$2:$J$5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Sheet1!$L$2:$L$5</c:f>
              <c:numCache>
                <c:formatCode>General</c:formatCode>
                <c:ptCount val="4"/>
                <c:pt idx="0">
                  <c:v>575</c:v>
                </c:pt>
                <c:pt idx="1">
                  <c:v>527</c:v>
                </c:pt>
                <c:pt idx="2">
                  <c:v>508</c:v>
                </c:pt>
                <c:pt idx="3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6-1240-8869-7D57D8137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244367"/>
        <c:axId val="785481887"/>
      </c:barChart>
      <c:catAx>
        <c:axId val="78624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481887"/>
        <c:crosses val="autoZero"/>
        <c:auto val="1"/>
        <c:lblAlgn val="ctr"/>
        <c:lblOffset val="100"/>
        <c:noMultiLvlLbl val="0"/>
      </c:catAx>
      <c:valAx>
        <c:axId val="785481887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2443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979155730533681"/>
          <c:y val="5.0770256341730921E-2"/>
          <c:w val="0.6624152782007221"/>
          <c:h val="0.7359879857877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GPU naïve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Sheet1!$A$10:$A$11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Sheet1!$B$10:$B$11</c:f>
              <c:numCache>
                <c:formatCode>General</c:formatCode>
                <c:ptCount val="2"/>
                <c:pt idx="0">
                  <c:v>98</c:v>
                </c:pt>
                <c:pt idx="1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874B-8712-0DB2EEBA7212}"/>
            </c:ext>
          </c:extLst>
        </c:ser>
        <c:ser>
          <c:idx val="1"/>
          <c:order val="1"/>
          <c:tx>
            <c:strRef>
              <c:f>Sheet1!$C$9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Sheet1!$A$10:$A$11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Sheet1!$C$10:$C$11</c:f>
              <c:numCache>
                <c:formatCode>General</c:formatCode>
                <c:ptCount val="2"/>
                <c:pt idx="0">
                  <c:v>152</c:v>
                </c:pt>
                <c:pt idx="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874B-8712-0DB2EEBA7212}"/>
            </c:ext>
          </c:extLst>
        </c:ser>
        <c:ser>
          <c:idx val="2"/>
          <c:order val="2"/>
          <c:tx>
            <c:strRef>
              <c:f>Sheet1!$D$9</c:f>
              <c:strCache>
                <c:ptCount val="1"/>
                <c:pt idx="0">
                  <c:v>Pruning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Sheet1!$A$10:$A$11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Sheet1!$D$10:$D$11</c:f>
              <c:numCache>
                <c:formatCode>General</c:formatCode>
                <c:ptCount val="2"/>
                <c:pt idx="0">
                  <c:v>176</c:v>
                </c:pt>
                <c:pt idx="1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874B-8712-0DB2EEBA7212}"/>
            </c:ext>
          </c:extLst>
        </c:ser>
        <c:ser>
          <c:idx val="3"/>
          <c:order val="3"/>
          <c:tx>
            <c:strRef>
              <c:f>Sheet1!$E$9</c:f>
              <c:strCache>
                <c:ptCount val="1"/>
                <c:pt idx="0">
                  <c:v>Intra-Warp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Sheet1!$A$10:$A$11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Sheet1!$E$10:$E$11</c:f>
              <c:numCache>
                <c:formatCode>General</c:formatCode>
                <c:ptCount val="2"/>
                <c:pt idx="0">
                  <c:v>263</c:v>
                </c:pt>
                <c:pt idx="1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874B-8712-0DB2EEBA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477391"/>
        <c:axId val="897729039"/>
      </c:barChart>
      <c:catAx>
        <c:axId val="81847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29039"/>
        <c:crosses val="autoZero"/>
        <c:auto val="1"/>
        <c:lblAlgn val="ctr"/>
        <c:lblOffset val="100"/>
        <c:noMultiLvlLbl val="0"/>
      </c:catAx>
      <c:valAx>
        <c:axId val="897729039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7739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1025209901248529"/>
          <c:y val="4.1769731602017586E-2"/>
          <c:w val="0.49062274328968558"/>
          <c:h val="0.169717263636288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979155730533681"/>
          <c:y val="5.0770256341730921E-2"/>
          <c:w val="0.6624152782007221"/>
          <c:h val="0.7359879857877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Sheet1!$K$9</c:f>
              <c:strCache>
                <c:ptCount val="1"/>
                <c:pt idx="0">
                  <c:v>GPU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Sheet1!$J$10:$J$11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Sheet1!$K$10:$K$11</c:f>
              <c:numCache>
                <c:formatCode>General</c:formatCode>
                <c:ptCount val="2"/>
                <c:pt idx="0">
                  <c:v>162</c:v>
                </c:pt>
                <c:pt idx="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874B-8712-0DB2EEBA7212}"/>
            </c:ext>
          </c:extLst>
        </c:ser>
        <c:ser>
          <c:idx val="1"/>
          <c:order val="1"/>
          <c:tx>
            <c:strRef>
              <c:f>Sheet1!$L$9</c:f>
              <c:strCache>
                <c:ptCount val="1"/>
                <c:pt idx="0">
                  <c:v>Inter-Warp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Sheet1!$J$10:$J$11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Sheet1!$L$10:$L$11</c:f>
              <c:numCache>
                <c:formatCode>General</c:formatCode>
                <c:ptCount val="2"/>
                <c:pt idx="0">
                  <c:v>377</c:v>
                </c:pt>
                <c:pt idx="1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874B-8712-0DB2EEBA7212}"/>
            </c:ext>
          </c:extLst>
        </c:ser>
        <c:ser>
          <c:idx val="2"/>
          <c:order val="2"/>
          <c:tx>
            <c:strRef>
              <c:f>Sheet1!$M$9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dkHorz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Sheet1!$J$10:$J$11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Sheet1!$M$10:$M$11</c:f>
              <c:numCache>
                <c:formatCode>General</c:formatCode>
                <c:ptCount val="2"/>
                <c:pt idx="0">
                  <c:v>408</c:v>
                </c:pt>
                <c:pt idx="1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874B-8712-0DB2EEBA7212}"/>
            </c:ext>
          </c:extLst>
        </c:ser>
        <c:ser>
          <c:idx val="3"/>
          <c:order val="3"/>
          <c:tx>
            <c:strRef>
              <c:f>Sheet1!$N$9</c:f>
              <c:strCache>
                <c:ptCount val="1"/>
                <c:pt idx="0">
                  <c:v>Pruning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Sheet1!$J$10:$J$11</c:f>
              <c:strCache>
                <c:ptCount val="2"/>
                <c:pt idx="0">
                  <c:v>lb</c:v>
                </c:pt>
                <c:pt idx="1">
                  <c:v>lj</c:v>
                </c:pt>
              </c:strCache>
            </c:strRef>
          </c:cat>
          <c:val>
            <c:numRef>
              <c:f>Sheet1!$N$10:$N$11</c:f>
              <c:numCache>
                <c:formatCode>General</c:formatCode>
                <c:ptCount val="2"/>
                <c:pt idx="0">
                  <c:v>698</c:v>
                </c:pt>
                <c:pt idx="1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874B-8712-0DB2EEBA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477391"/>
        <c:axId val="897729039"/>
      </c:barChart>
      <c:catAx>
        <c:axId val="81847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29039"/>
        <c:crosses val="autoZero"/>
        <c:auto val="1"/>
        <c:lblAlgn val="ctr"/>
        <c:lblOffset val="100"/>
        <c:noMultiLvlLbl val="0"/>
      </c:catAx>
      <c:valAx>
        <c:axId val="897729039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7739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417607174103239"/>
          <c:y val="0.15335669291338583"/>
          <c:w val="0.47099499962939101"/>
          <c:h val="0.48726062992125985"/>
        </c:manualLayout>
      </c:layout>
      <c:lineChart>
        <c:grouping val="standar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bg2">
                    <a:lumMod val="90000"/>
                  </a:schemeClr>
                </a:solidFill>
              </a:ln>
              <a:effectLst/>
            </c:spPr>
          </c:marker>
          <c:cat>
            <c:numRef>
              <c:f>Sheet2!$C$4:$H$4</c:f>
              <c:numCache>
                <c:formatCode>General</c:formatCode>
                <c:ptCount val="6"/>
                <c:pt idx="0">
                  <c:v>8192</c:v>
                </c:pt>
                <c:pt idx="1">
                  <c:v>2048</c:v>
                </c:pt>
                <c:pt idx="2">
                  <c:v>512</c:v>
                </c:pt>
                <c:pt idx="3">
                  <c:v>128</c:v>
                </c:pt>
                <c:pt idx="4">
                  <c:v>32</c:v>
                </c:pt>
                <c:pt idx="5">
                  <c:v>8</c:v>
                </c:pt>
              </c:numCache>
            </c:numRef>
          </c:cat>
          <c:val>
            <c:numRef>
              <c:f>Sheet2!$C$5:$H$5</c:f>
              <c:numCache>
                <c:formatCode>0.00%</c:formatCode>
                <c:ptCount val="6"/>
                <c:pt idx="0">
                  <c:v>0.95</c:v>
                </c:pt>
                <c:pt idx="1">
                  <c:v>0.31</c:v>
                </c:pt>
                <c:pt idx="2">
                  <c:v>8.1000000000000003E-2</c:v>
                </c:pt>
                <c:pt idx="3">
                  <c:v>2.1999999999999999E-2</c:v>
                </c:pt>
                <c:pt idx="4">
                  <c:v>5.0000000000000001E-3</c:v>
                </c:pt>
                <c:pt idx="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7-4CFC-9E1E-000C19831ED0}"/>
            </c:ext>
          </c:extLst>
        </c:ser>
        <c:ser>
          <c:idx val="1"/>
          <c:order val="1"/>
          <c:tx>
            <c:strRef>
              <c:f>Sheet2!$B$6</c:f>
              <c:strCache>
                <c:ptCount val="1"/>
                <c:pt idx="0">
                  <c:v>GCSM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cat>
            <c:numRef>
              <c:f>Sheet2!$C$4:$H$4</c:f>
              <c:numCache>
                <c:formatCode>General</c:formatCode>
                <c:ptCount val="6"/>
                <c:pt idx="0">
                  <c:v>8192</c:v>
                </c:pt>
                <c:pt idx="1">
                  <c:v>2048</c:v>
                </c:pt>
                <c:pt idx="2">
                  <c:v>512</c:v>
                </c:pt>
                <c:pt idx="3">
                  <c:v>128</c:v>
                </c:pt>
                <c:pt idx="4">
                  <c:v>32</c:v>
                </c:pt>
                <c:pt idx="5">
                  <c:v>8</c:v>
                </c:pt>
              </c:numCache>
            </c:numRef>
          </c:cat>
          <c:val>
            <c:numRef>
              <c:f>Sheet2!$C$6:$H$6</c:f>
              <c:numCache>
                <c:formatCode>0.00%</c:formatCode>
                <c:ptCount val="6"/>
                <c:pt idx="0">
                  <c:v>0.91</c:v>
                </c:pt>
                <c:pt idx="1">
                  <c:v>0.27</c:v>
                </c:pt>
                <c:pt idx="2">
                  <c:v>9.1999999999999998E-2</c:v>
                </c:pt>
                <c:pt idx="3">
                  <c:v>2.1000000000000001E-2</c:v>
                </c:pt>
                <c:pt idx="4">
                  <c:v>4.0000000000000001E-3</c:v>
                </c:pt>
                <c:pt idx="5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7-4CFC-9E1E-000C1983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9687952"/>
        <c:axId val="1289688912"/>
      </c:lineChart>
      <c:catAx>
        <c:axId val="128968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>
                    <a:solidFill>
                      <a:schemeClr val="tx1"/>
                    </a:solidFill>
                  </a:rPr>
                  <a:t>Batch Size</a:t>
                </a:r>
              </a:p>
            </c:rich>
          </c:tx>
          <c:layout>
            <c:manualLayout>
              <c:xMode val="edge"/>
              <c:yMode val="edge"/>
              <c:x val="0.42669000553062658"/>
              <c:y val="0.884779527559055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2880000" spcFirstLastPara="1" vertOverflow="ellipsis" wrap="square" anchor="t" anchorCtr="0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688912"/>
        <c:crosses val="autoZero"/>
        <c:auto val="1"/>
        <c:lblAlgn val="ctr"/>
        <c:lblOffset val="100"/>
        <c:noMultiLvlLbl val="0"/>
      </c:catAx>
      <c:valAx>
        <c:axId val="128968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600">
                    <a:solidFill>
                      <a:schemeClr val="tx1"/>
                    </a:solidFill>
                  </a:rPr>
                  <a:t>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6879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47732728195362"/>
          <c:y val="0.1565988188976378"/>
          <c:w val="0.24902256153534755"/>
          <c:h val="0.20334645669291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61663787611876"/>
          <c:y val="0.11775200713648529"/>
          <c:w val="0.69581513334629141"/>
          <c:h val="0.61782882260195715"/>
        </c:manualLayout>
      </c:layout>
      <c:lineChart>
        <c:grouping val="standard"/>
        <c:varyColors val="0"/>
        <c:ser>
          <c:idx val="0"/>
          <c:order val="0"/>
          <c:tx>
            <c:strRef>
              <c:f>GCSMdata!$C$46</c:f>
              <c:strCache>
                <c:ptCount val="1"/>
                <c:pt idx="0">
                  <c:v>az Q1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GCSMdata!$D$45:$G$45</c:f>
              <c:strCache>
                <c:ptCount val="4"/>
                <c:pt idx="0">
                  <c:v>1 GPU</c:v>
                </c:pt>
                <c:pt idx="1">
                  <c:v>2 GPU</c:v>
                </c:pt>
                <c:pt idx="2">
                  <c:v>4 GPU</c:v>
                </c:pt>
                <c:pt idx="3">
                  <c:v>8 GPU</c:v>
                </c:pt>
              </c:strCache>
            </c:strRef>
          </c:cat>
          <c:val>
            <c:numRef>
              <c:f>GCSMdata!$D$46:$G$46</c:f>
              <c:numCache>
                <c:formatCode>General</c:formatCode>
                <c:ptCount val="4"/>
                <c:pt idx="0">
                  <c:v>1</c:v>
                </c:pt>
                <c:pt idx="1">
                  <c:v>1.897</c:v>
                </c:pt>
                <c:pt idx="2">
                  <c:v>3.8380000000000001</c:v>
                </c:pt>
                <c:pt idx="3">
                  <c:v>7.5880000000000001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D-B341-A6B9-432B65FFA90F}"/>
            </c:ext>
          </c:extLst>
        </c:ser>
        <c:ser>
          <c:idx val="1"/>
          <c:order val="1"/>
          <c:tx>
            <c:strRef>
              <c:f>GCSMdata!$C$47</c:f>
              <c:strCache>
                <c:ptCount val="1"/>
                <c:pt idx="0">
                  <c:v>db Q2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GCSMdata!$D$45:$G$45</c:f>
              <c:strCache>
                <c:ptCount val="4"/>
                <c:pt idx="0">
                  <c:v>1 GPU</c:v>
                </c:pt>
                <c:pt idx="1">
                  <c:v>2 GPU</c:v>
                </c:pt>
                <c:pt idx="2">
                  <c:v>4 GPU</c:v>
                </c:pt>
                <c:pt idx="3">
                  <c:v>8 GPU</c:v>
                </c:pt>
              </c:strCache>
            </c:strRef>
          </c:cat>
          <c:val>
            <c:numRef>
              <c:f>GCSMdata!$D$47:$G$47</c:f>
              <c:numCache>
                <c:formatCode>General</c:formatCode>
                <c:ptCount val="4"/>
                <c:pt idx="0">
                  <c:v>1</c:v>
                </c:pt>
                <c:pt idx="1">
                  <c:v>1.7210000000000001</c:v>
                </c:pt>
                <c:pt idx="2">
                  <c:v>3.3109999999999999</c:v>
                </c:pt>
                <c:pt idx="3">
                  <c:v>6.242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D-B341-A6B9-432B65FFA90F}"/>
            </c:ext>
          </c:extLst>
        </c:ser>
        <c:ser>
          <c:idx val="2"/>
          <c:order val="2"/>
          <c:tx>
            <c:strRef>
              <c:f>GCSMdata!$C$48</c:f>
              <c:strCache>
                <c:ptCount val="1"/>
                <c:pt idx="0">
                  <c:v>lb Q7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GCSMdata!$D$45:$G$45</c:f>
              <c:strCache>
                <c:ptCount val="4"/>
                <c:pt idx="0">
                  <c:v>1 GPU</c:v>
                </c:pt>
                <c:pt idx="1">
                  <c:v>2 GPU</c:v>
                </c:pt>
                <c:pt idx="2">
                  <c:v>4 GPU</c:v>
                </c:pt>
                <c:pt idx="3">
                  <c:v>8 GPU</c:v>
                </c:pt>
              </c:strCache>
            </c:strRef>
          </c:cat>
          <c:val>
            <c:numRef>
              <c:f>GCSMdata!$D$48:$G$48</c:f>
              <c:numCache>
                <c:formatCode>General</c:formatCode>
                <c:ptCount val="4"/>
                <c:pt idx="0">
                  <c:v>1</c:v>
                </c:pt>
                <c:pt idx="1">
                  <c:v>1.7809999999999999</c:v>
                </c:pt>
                <c:pt idx="2">
                  <c:v>3.7429999999999999</c:v>
                </c:pt>
                <c:pt idx="3">
                  <c:v>7.3470000000000004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D-B341-A6B9-432B65FFA90F}"/>
            </c:ext>
          </c:extLst>
        </c:ser>
        <c:ser>
          <c:idx val="3"/>
          <c:order val="3"/>
          <c:tx>
            <c:strRef>
              <c:f>GCSMdata!$C$49</c:f>
              <c:strCache>
                <c:ptCount val="1"/>
                <c:pt idx="0">
                  <c:v>lj Q8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GCSMdata!$D$45:$G$45</c:f>
              <c:strCache>
                <c:ptCount val="4"/>
                <c:pt idx="0">
                  <c:v>1 GPU</c:v>
                </c:pt>
                <c:pt idx="1">
                  <c:v>2 GPU</c:v>
                </c:pt>
                <c:pt idx="2">
                  <c:v>4 GPU</c:v>
                </c:pt>
                <c:pt idx="3">
                  <c:v>8 GPU</c:v>
                </c:pt>
              </c:strCache>
            </c:strRef>
          </c:cat>
          <c:val>
            <c:numRef>
              <c:f>GCSMdata!$D$49:$G$49</c:f>
              <c:numCache>
                <c:formatCode>General</c:formatCode>
                <c:ptCount val="4"/>
                <c:pt idx="0">
                  <c:v>1</c:v>
                </c:pt>
                <c:pt idx="1">
                  <c:v>1.821</c:v>
                </c:pt>
                <c:pt idx="2">
                  <c:v>3.698</c:v>
                </c:pt>
                <c:pt idx="3">
                  <c:v>7.4119999999999999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0D-B341-A6B9-432B65FFA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135968"/>
        <c:axId val="508816496"/>
      </c:lineChart>
      <c:catAx>
        <c:axId val="89413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Num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ber of GPUs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816496"/>
        <c:crosses val="autoZero"/>
        <c:auto val="1"/>
        <c:lblAlgn val="ctr"/>
        <c:lblOffset val="100"/>
        <c:noMultiLvlLbl val="0"/>
      </c:catAx>
      <c:valAx>
        <c:axId val="5088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135968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195603340390172"/>
          <c:y val="0.14709864388631813"/>
          <c:w val="0.2034203329495029"/>
          <c:h val="0.318892755910488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554418197725288"/>
          <c:y val="0.14152054488309387"/>
          <c:w val="0.69355893026697746"/>
          <c:h val="0.5462201643237844"/>
        </c:manualLayout>
      </c:layout>
      <c:lineChart>
        <c:grouping val="standard"/>
        <c:varyColors val="0"/>
        <c:ser>
          <c:idx val="0"/>
          <c:order val="0"/>
          <c:tx>
            <c:strRef>
              <c:f>GCSMdata!$C$27</c:f>
              <c:strCache>
                <c:ptCount val="1"/>
                <c:pt idx="0">
                  <c:v>GCSM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GCSMdata!$D$26:$K$26</c:f>
              <c:strCache>
                <c:ptCount val="8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  <c:pt idx="6">
                  <c:v>8K</c:v>
                </c:pt>
                <c:pt idx="7">
                  <c:v>All</c:v>
                </c:pt>
              </c:strCache>
            </c:strRef>
          </c:cat>
          <c:val>
            <c:numRef>
              <c:f>GCSMdata!$D$27:$K$27</c:f>
              <c:numCache>
                <c:formatCode>General</c:formatCode>
                <c:ptCount val="8"/>
                <c:pt idx="0">
                  <c:v>8.8206875910000004</c:v>
                </c:pt>
                <c:pt idx="1">
                  <c:v>5.2</c:v>
                </c:pt>
                <c:pt idx="2">
                  <c:v>3.5503900929999999</c:v>
                </c:pt>
                <c:pt idx="3">
                  <c:v>1.9</c:v>
                </c:pt>
                <c:pt idx="4">
                  <c:v>1.0807918810000001</c:v>
                </c:pt>
                <c:pt idx="5">
                  <c:v>0.7</c:v>
                </c:pt>
                <c:pt idx="6">
                  <c:v>0.50804384199999997</c:v>
                </c:pt>
                <c:pt idx="7">
                  <c:v>0.50081326800000003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A-0D49-B8C0-AE9D09AF04A1}"/>
            </c:ext>
          </c:extLst>
        </c:ser>
        <c:ser>
          <c:idx val="1"/>
          <c:order val="1"/>
          <c:tx>
            <c:strRef>
              <c:f>GCSMdata!$C$28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GCSMdata!$D$26:$K$26</c:f>
              <c:strCache>
                <c:ptCount val="8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  <c:pt idx="6">
                  <c:v>8K</c:v>
                </c:pt>
                <c:pt idx="7">
                  <c:v>All</c:v>
                </c:pt>
              </c:strCache>
            </c:strRef>
          </c:cat>
          <c:val>
            <c:numRef>
              <c:f>GCSMdata!$D$28:$K$28</c:f>
              <c:numCache>
                <c:formatCode>General</c:formatCode>
                <c:ptCount val="8"/>
                <c:pt idx="0">
                  <c:v>0.50800000000000001</c:v>
                </c:pt>
                <c:pt idx="1">
                  <c:v>0.50800000000000001</c:v>
                </c:pt>
                <c:pt idx="2">
                  <c:v>0.50800000000000001</c:v>
                </c:pt>
                <c:pt idx="3">
                  <c:v>0.50800000000000001</c:v>
                </c:pt>
                <c:pt idx="4">
                  <c:v>0.50800000000000001</c:v>
                </c:pt>
                <c:pt idx="5">
                  <c:v>0.50800000000000001</c:v>
                </c:pt>
                <c:pt idx="6">
                  <c:v>0.50800000000000001</c:v>
                </c:pt>
                <c:pt idx="7">
                  <c:v>0.50800000000000001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A-0D49-B8C0-AE9D09AF0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46816"/>
        <c:axId val="438802160"/>
      </c:lineChart>
      <c:catAx>
        <c:axId val="43834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Batch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Size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02160"/>
        <c:crosses val="autoZero"/>
        <c:auto val="1"/>
        <c:lblAlgn val="ctr"/>
        <c:lblOffset val="100"/>
        <c:noMultiLvlLbl val="0"/>
      </c:catAx>
      <c:valAx>
        <c:axId val="438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46816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302755905511808"/>
          <c:y val="0.20330792427542305"/>
          <c:w val="0.20765373506136517"/>
          <c:h val="0.19431264075967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554418197725288"/>
          <c:y val="0.10203165810213952"/>
          <c:w val="0.69911439195100622"/>
          <c:h val="0.60563945292930321"/>
        </c:manualLayout>
      </c:layout>
      <c:lineChart>
        <c:grouping val="standard"/>
        <c:varyColors val="0"/>
        <c:ser>
          <c:idx val="0"/>
          <c:order val="0"/>
          <c:tx>
            <c:strRef>
              <c:f>GCSMdata!$C$37</c:f>
              <c:strCache>
                <c:ptCount val="1"/>
                <c:pt idx="0">
                  <c:v>GCSM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GCSMdata!$D$36:$K$36</c:f>
              <c:strCache>
                <c:ptCount val="8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  <c:pt idx="6">
                  <c:v>8K</c:v>
                </c:pt>
                <c:pt idx="7">
                  <c:v>All</c:v>
                </c:pt>
              </c:strCache>
            </c:strRef>
          </c:cat>
          <c:val>
            <c:numRef>
              <c:f>GCSMdata!$D$37:$K$37</c:f>
              <c:numCache>
                <c:formatCode>General</c:formatCode>
                <c:ptCount val="8"/>
                <c:pt idx="0">
                  <c:v>15.627202425</c:v>
                </c:pt>
                <c:pt idx="1">
                  <c:v>10.2125984251968</c:v>
                </c:pt>
                <c:pt idx="2">
                  <c:v>6.2900611883858275</c:v>
                </c:pt>
                <c:pt idx="3">
                  <c:v>3.3661417322834599</c:v>
                </c:pt>
                <c:pt idx="4">
                  <c:v>1.9147887655511815</c:v>
                </c:pt>
                <c:pt idx="5">
                  <c:v>1.2401574803149606</c:v>
                </c:pt>
                <c:pt idx="6">
                  <c:v>0.90007767283464568</c:v>
                </c:pt>
                <c:pt idx="7">
                  <c:v>0.88726760078740152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A-0D49-B8C0-AE9D09AF04A1}"/>
            </c:ext>
          </c:extLst>
        </c:ser>
        <c:ser>
          <c:idx val="1"/>
          <c:order val="1"/>
          <c:tx>
            <c:strRef>
              <c:f>GCSMdata!$C$38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GCSMdata!$D$36:$K$36</c:f>
              <c:strCache>
                <c:ptCount val="8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1K</c:v>
                </c:pt>
                <c:pt idx="4">
                  <c:v>2K</c:v>
                </c:pt>
                <c:pt idx="5">
                  <c:v>4K</c:v>
                </c:pt>
                <c:pt idx="6">
                  <c:v>8K</c:v>
                </c:pt>
                <c:pt idx="7">
                  <c:v>All</c:v>
                </c:pt>
              </c:strCache>
            </c:strRef>
          </c:cat>
          <c:val>
            <c:numRef>
              <c:f>GCSMdata!$D$38:$K$38</c:f>
              <c:numCache>
                <c:formatCode>General</c:formatCode>
                <c:ptCount val="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A-0D49-B8C0-AE9D09AF0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46816"/>
        <c:axId val="438802160"/>
      </c:lineChart>
      <c:catAx>
        <c:axId val="43834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Batch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02160"/>
        <c:crosses val="autoZero"/>
        <c:auto val="1"/>
        <c:lblAlgn val="ctr"/>
        <c:lblOffset val="100"/>
        <c:noMultiLvlLbl val="0"/>
      </c:catAx>
      <c:valAx>
        <c:axId val="438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46816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1302755905511808"/>
          <c:y val="0.20330792427542305"/>
          <c:w val="0.20765373506136517"/>
          <c:h val="0.194312640759674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Response!$B$15</c:f>
              <c:strCache>
                <c:ptCount val="1"/>
                <c:pt idx="0">
                  <c:v>GCSM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Response!$C$15:$M$15</c:f>
              <c:numCache>
                <c:formatCode>General</c:formatCode>
                <c:ptCount val="11"/>
                <c:pt idx="0">
                  <c:v>79.006017</c:v>
                </c:pt>
                <c:pt idx="1">
                  <c:v>70.482943000000006</c:v>
                </c:pt>
                <c:pt idx="2">
                  <c:v>53.277242000000001</c:v>
                </c:pt>
                <c:pt idx="3">
                  <c:v>18.233857</c:v>
                </c:pt>
                <c:pt idx="4">
                  <c:v>1.328756</c:v>
                </c:pt>
                <c:pt idx="5">
                  <c:v>2.6682510000000002</c:v>
                </c:pt>
                <c:pt idx="6">
                  <c:v>5.3498710000000003</c:v>
                </c:pt>
                <c:pt idx="7">
                  <c:v>10.696721</c:v>
                </c:pt>
                <c:pt idx="8">
                  <c:v>21.782475000000002</c:v>
                </c:pt>
                <c:pt idx="9">
                  <c:v>43.166635999999997</c:v>
                </c:pt>
                <c:pt idx="10">
                  <c:v>91.110909000000007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4-FA45-9ABA-02DB850974A0}"/>
            </c:ext>
          </c:extLst>
        </c:ser>
        <c:ser>
          <c:idx val="1"/>
          <c:order val="1"/>
          <c:tx>
            <c:strRef>
              <c:f>Response!$B$16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Response!$C$16:$M$16</c:f>
              <c:numCache>
                <c:formatCode>General</c:formatCode>
                <c:ptCount val="11"/>
                <c:pt idx="0">
                  <c:v>87.029683000000006</c:v>
                </c:pt>
                <c:pt idx="1">
                  <c:v>71.009989000000004</c:v>
                </c:pt>
                <c:pt idx="2">
                  <c:v>53.660183000000004</c:v>
                </c:pt>
                <c:pt idx="3">
                  <c:v>19.104274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4-FA45-9ABA-02DB8509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0266448"/>
        <c:axId val="250268176"/>
      </c:lineChart>
      <c:catAx>
        <c:axId val="25026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68176"/>
        <c:crosses val="autoZero"/>
        <c:auto val="1"/>
        <c:lblAlgn val="ctr"/>
        <c:lblOffset val="100"/>
        <c:noMultiLvlLbl val="0"/>
      </c:catAx>
      <c:valAx>
        <c:axId val="25026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26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511111111111111"/>
          <c:y val="0.25547124791219278"/>
          <c:w val="0.76181872420132501"/>
          <c:h val="0.43375566690527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'Ablation Study'!$B$13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Study'!$A$14:$A$19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Study'!$B$14:$B$19</c:f>
              <c:numCache>
                <c:formatCode>General</c:formatCode>
                <c:ptCount val="6"/>
                <c:pt idx="0">
                  <c:v>1.9</c:v>
                </c:pt>
                <c:pt idx="1">
                  <c:v>1.8</c:v>
                </c:pt>
                <c:pt idx="2">
                  <c:v>1.7</c:v>
                </c:pt>
                <c:pt idx="3">
                  <c:v>2.6</c:v>
                </c:pt>
                <c:pt idx="4">
                  <c:v>2.5</c:v>
                </c:pt>
                <c:pt idx="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7B4A-8AC0-DC774498B050}"/>
            </c:ext>
          </c:extLst>
        </c:ser>
        <c:ser>
          <c:idx val="1"/>
          <c:order val="1"/>
          <c:tx>
            <c:strRef>
              <c:f>'Ablation Study'!$C$13</c:f>
              <c:strCache>
                <c:ptCount val="1"/>
                <c:pt idx="0">
                  <c:v>Loop Coalesce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Study'!$A$14:$A$19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Study'!$C$14:$C$19</c:f>
              <c:numCache>
                <c:formatCode>General</c:formatCode>
                <c:ptCount val="6"/>
                <c:pt idx="0">
                  <c:v>2.5</c:v>
                </c:pt>
                <c:pt idx="1">
                  <c:v>3.2</c:v>
                </c:pt>
                <c:pt idx="2">
                  <c:v>3.1</c:v>
                </c:pt>
                <c:pt idx="3">
                  <c:v>2.9</c:v>
                </c:pt>
                <c:pt idx="4">
                  <c:v>2.7</c:v>
                </c:pt>
                <c:pt idx="5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A-7B4A-8AC0-DC774498B050}"/>
            </c:ext>
          </c:extLst>
        </c:ser>
        <c:ser>
          <c:idx val="2"/>
          <c:order val="2"/>
          <c:tx>
            <c:strRef>
              <c:f>'Ablation Study'!$D$13</c:f>
              <c:strCache>
                <c:ptCount val="1"/>
                <c:pt idx="0">
                  <c:v>Shadow Mem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Study'!$A$14:$A$19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Study'!$D$14:$D$19</c:f>
              <c:numCache>
                <c:formatCode>General</c:formatCode>
                <c:ptCount val="6"/>
                <c:pt idx="0">
                  <c:v>3.5</c:v>
                </c:pt>
                <c:pt idx="1">
                  <c:v>3.5</c:v>
                </c:pt>
                <c:pt idx="2">
                  <c:v>3.9</c:v>
                </c:pt>
                <c:pt idx="3">
                  <c:v>3.7</c:v>
                </c:pt>
                <c:pt idx="4">
                  <c:v>3.6</c:v>
                </c:pt>
                <c:pt idx="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A-7B4A-8AC0-DC774498B050}"/>
            </c:ext>
          </c:extLst>
        </c:ser>
        <c:ser>
          <c:idx val="3"/>
          <c:order val="3"/>
          <c:tx>
            <c:strRef>
              <c:f>'Ablation Study'!$E$13</c:f>
              <c:strCache>
                <c:ptCount val="1"/>
                <c:pt idx="0">
                  <c:v>Loop Elimination</c:v>
                </c:pt>
              </c:strCache>
            </c:strRef>
          </c:tx>
          <c:spPr>
            <a:pattFill prst="lgConfetti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Study'!$A$14:$A$19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Study'!$E$14:$E$19</c:f>
              <c:numCache>
                <c:formatCode>General</c:formatCode>
                <c:ptCount val="6"/>
                <c:pt idx="0">
                  <c:v>3.5</c:v>
                </c:pt>
                <c:pt idx="1">
                  <c:v>3.5</c:v>
                </c:pt>
                <c:pt idx="2">
                  <c:v>3.9</c:v>
                </c:pt>
                <c:pt idx="3">
                  <c:v>3.7</c:v>
                </c:pt>
                <c:pt idx="4">
                  <c:v>3.6</c:v>
                </c:pt>
                <c:pt idx="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A-7B4A-8AC0-DC774498B050}"/>
            </c:ext>
          </c:extLst>
        </c:ser>
        <c:ser>
          <c:idx val="4"/>
          <c:order val="4"/>
          <c:tx>
            <c:strRef>
              <c:f>'Ablation Study'!$F$13</c:f>
              <c:strCache>
                <c:ptCount val="1"/>
                <c:pt idx="0">
                  <c:v>Loop Fusion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Study'!$A$14:$A$19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Study'!$F$14:$F$19</c:f>
              <c:numCache>
                <c:formatCode>General</c:formatCode>
                <c:ptCount val="6"/>
                <c:pt idx="0">
                  <c:v>4.3</c:v>
                </c:pt>
                <c:pt idx="1">
                  <c:v>4.2</c:v>
                </c:pt>
                <c:pt idx="2">
                  <c:v>4.0999999999999996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A-7B4A-8AC0-DC774498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85567"/>
        <c:axId val="1134064767"/>
      </c:barChart>
      <c:catAx>
        <c:axId val="11323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64767"/>
        <c:crosses val="autoZero"/>
        <c:auto val="1"/>
        <c:lblAlgn val="ctr"/>
        <c:lblOffset val="100"/>
        <c:noMultiLvlLbl val="0"/>
      </c:catAx>
      <c:valAx>
        <c:axId val="113406476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855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511111111111111"/>
          <c:y val="0.26184501845018449"/>
          <c:w val="0.66282509041208559"/>
          <c:h val="0.42359415405177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'Ablation Study'!$I$13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Study'!$H$14:$H$17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Study'!$I$14:$I$17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7B4A-8AC0-DC774498B050}"/>
            </c:ext>
          </c:extLst>
        </c:ser>
        <c:ser>
          <c:idx val="1"/>
          <c:order val="1"/>
          <c:tx>
            <c:strRef>
              <c:f>'Ablation Study'!$J$13</c:f>
              <c:strCache>
                <c:ptCount val="1"/>
                <c:pt idx="0">
                  <c:v>Loop Coalesce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Study'!$H$14:$H$17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Study'!$J$14:$J$17</c:f>
              <c:numCache>
                <c:formatCode>General</c:formatCode>
                <c:ptCount val="4"/>
                <c:pt idx="0">
                  <c:v>1.4</c:v>
                </c:pt>
                <c:pt idx="1">
                  <c:v>2.7</c:v>
                </c:pt>
                <c:pt idx="2">
                  <c:v>2.5</c:v>
                </c:pt>
                <c:pt idx="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A-7B4A-8AC0-DC774498B050}"/>
            </c:ext>
          </c:extLst>
        </c:ser>
        <c:ser>
          <c:idx val="2"/>
          <c:order val="2"/>
          <c:tx>
            <c:strRef>
              <c:f>'Ablation Study'!$K$13</c:f>
              <c:strCache>
                <c:ptCount val="1"/>
                <c:pt idx="0">
                  <c:v>Shadow Mem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Study'!$H$14:$H$17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Study'!$K$14:$K$17</c:f>
              <c:numCache>
                <c:formatCode>General</c:formatCode>
                <c:ptCount val="4"/>
                <c:pt idx="0">
                  <c:v>2.7</c:v>
                </c:pt>
                <c:pt idx="1">
                  <c:v>3.5</c:v>
                </c:pt>
                <c:pt idx="2">
                  <c:v>3.9</c:v>
                </c:pt>
                <c:pt idx="3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A-7B4A-8AC0-DC774498B050}"/>
            </c:ext>
          </c:extLst>
        </c:ser>
        <c:ser>
          <c:idx val="3"/>
          <c:order val="3"/>
          <c:tx>
            <c:strRef>
              <c:f>'Ablation Study'!$L$13</c:f>
              <c:strCache>
                <c:ptCount val="1"/>
                <c:pt idx="0">
                  <c:v>Loop Elimination</c:v>
                </c:pt>
              </c:strCache>
            </c:strRef>
          </c:tx>
          <c:spPr>
            <a:pattFill prst="lgConfetti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Study'!$H$14:$H$17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Study'!$L$14:$L$17</c:f>
              <c:numCache>
                <c:formatCode>General</c:formatCode>
                <c:ptCount val="4"/>
                <c:pt idx="0">
                  <c:v>3.7</c:v>
                </c:pt>
                <c:pt idx="1">
                  <c:v>4.5</c:v>
                </c:pt>
                <c:pt idx="2">
                  <c:v>4.9000000000000004</c:v>
                </c:pt>
                <c:pt idx="3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A-7B4A-8AC0-DC774498B050}"/>
            </c:ext>
          </c:extLst>
        </c:ser>
        <c:ser>
          <c:idx val="4"/>
          <c:order val="4"/>
          <c:tx>
            <c:strRef>
              <c:f>'Ablation Study'!$M$13</c:f>
              <c:strCache>
                <c:ptCount val="1"/>
                <c:pt idx="0">
                  <c:v>Loop Fusion</c:v>
                </c:pt>
              </c:strCache>
            </c:strRef>
          </c:tx>
          <c:spPr>
            <a:pattFill prst="lgGrid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Study'!$H$14:$H$17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Study'!$M$14:$M$17</c:f>
              <c:numCache>
                <c:formatCode>General</c:formatCode>
                <c:ptCount val="4"/>
                <c:pt idx="0">
                  <c:v>4.0999999999999996</c:v>
                </c:pt>
                <c:pt idx="1">
                  <c:v>4.8</c:v>
                </c:pt>
                <c:pt idx="2">
                  <c:v>5.2</c:v>
                </c:pt>
                <c:pt idx="3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A-7B4A-8AC0-DC774498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85567"/>
        <c:axId val="1134064767"/>
      </c:barChart>
      <c:catAx>
        <c:axId val="11323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64767"/>
        <c:crosses val="autoZero"/>
        <c:auto val="1"/>
        <c:lblAlgn val="ctr"/>
        <c:lblOffset val="100"/>
        <c:noMultiLvlLbl val="0"/>
      </c:catAx>
      <c:valAx>
        <c:axId val="113406476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85567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4516310461192348"/>
          <c:y val="0.26937269372693728"/>
          <c:w val="0.58340650967016217"/>
          <c:h val="0.19509312258476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511111111111111"/>
          <c:y val="0.30971860074867691"/>
          <c:w val="0.71754438141155819"/>
          <c:h val="0.37572040789983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'Ablation Study'!$I$26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Study'!$H$27:$H$30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Study'!$I$27:$I$30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7B4A-8AC0-DC774498B050}"/>
            </c:ext>
          </c:extLst>
        </c:ser>
        <c:ser>
          <c:idx val="1"/>
          <c:order val="1"/>
          <c:tx>
            <c:strRef>
              <c:f>'Ablation Study'!$J$26</c:f>
              <c:strCache>
                <c:ptCount val="1"/>
                <c:pt idx="0">
                  <c:v>Loop Coalesce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Study'!$H$27:$H$30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Study'!$J$27:$J$30</c:f>
              <c:numCache>
                <c:formatCode>General</c:formatCode>
                <c:ptCount val="4"/>
                <c:pt idx="0">
                  <c:v>1.3</c:v>
                </c:pt>
                <c:pt idx="1">
                  <c:v>2.1</c:v>
                </c:pt>
                <c:pt idx="2">
                  <c:v>2.2999999999999998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A-7B4A-8AC0-DC774498B050}"/>
            </c:ext>
          </c:extLst>
        </c:ser>
        <c:ser>
          <c:idx val="2"/>
          <c:order val="2"/>
          <c:tx>
            <c:strRef>
              <c:f>'Ablation Study'!$K$26</c:f>
              <c:strCache>
                <c:ptCount val="1"/>
                <c:pt idx="0">
                  <c:v>Shadow Mem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Study'!$H$27:$H$30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Study'!$K$27:$K$30</c:f>
              <c:numCache>
                <c:formatCode>General</c:formatCode>
                <c:ptCount val="4"/>
                <c:pt idx="0">
                  <c:v>2.1</c:v>
                </c:pt>
                <c:pt idx="1">
                  <c:v>3.1</c:v>
                </c:pt>
                <c:pt idx="2">
                  <c:v>2.6</c:v>
                </c:pt>
                <c:pt idx="3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A-7B4A-8AC0-DC774498B050}"/>
            </c:ext>
          </c:extLst>
        </c:ser>
        <c:ser>
          <c:idx val="3"/>
          <c:order val="3"/>
          <c:tx>
            <c:strRef>
              <c:f>'Ablation Study'!$L$26</c:f>
              <c:strCache>
                <c:ptCount val="1"/>
                <c:pt idx="0">
                  <c:v>Loop Elimination</c:v>
                </c:pt>
              </c:strCache>
            </c:strRef>
          </c:tx>
          <c:spPr>
            <a:pattFill prst="lgConfetti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Study'!$H$27:$H$30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Study'!$L$27:$L$30</c:f>
              <c:numCache>
                <c:formatCode>General</c:formatCode>
                <c:ptCount val="4"/>
                <c:pt idx="0">
                  <c:v>4.0999999999999996</c:v>
                </c:pt>
                <c:pt idx="1">
                  <c:v>5.3</c:v>
                </c:pt>
                <c:pt idx="2">
                  <c:v>5.4</c:v>
                </c:pt>
                <c:pt idx="3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A-7B4A-8AC0-DC774498B050}"/>
            </c:ext>
          </c:extLst>
        </c:ser>
        <c:ser>
          <c:idx val="4"/>
          <c:order val="4"/>
          <c:tx>
            <c:strRef>
              <c:f>'Ablation Study'!$M$26</c:f>
              <c:strCache>
                <c:ptCount val="1"/>
                <c:pt idx="0">
                  <c:v>Loop Fusion</c:v>
                </c:pt>
              </c:strCache>
            </c:strRef>
          </c:tx>
          <c:spPr>
            <a:pattFill prst="lgGrid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Study'!$H$27:$H$30</c:f>
              <c:strCache>
                <c:ptCount val="4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</c:strCache>
            </c:strRef>
          </c:cat>
          <c:val>
            <c:numRef>
              <c:f>'Ablation Study'!$M$27:$M$30</c:f>
              <c:numCache>
                <c:formatCode>General</c:formatCode>
                <c:ptCount val="4"/>
                <c:pt idx="0">
                  <c:v>5.2</c:v>
                </c:pt>
                <c:pt idx="1">
                  <c:v>6.1</c:v>
                </c:pt>
                <c:pt idx="2">
                  <c:v>6.5</c:v>
                </c:pt>
                <c:pt idx="3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A-7B4A-8AC0-DC774498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85567"/>
        <c:axId val="1134064767"/>
      </c:barChart>
      <c:catAx>
        <c:axId val="11323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64767"/>
        <c:crosses val="autoZero"/>
        <c:auto val="1"/>
        <c:lblAlgn val="ctr"/>
        <c:lblOffset val="100"/>
        <c:noMultiLvlLbl val="0"/>
      </c:catAx>
      <c:valAx>
        <c:axId val="1134064767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85567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1511111111111111"/>
          <c:y val="0.23967622290456933"/>
          <c:w val="0.60893734057890647"/>
          <c:h val="0.44576292828261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'Ablation Study'!$B$26</c:f>
              <c:strCache>
                <c:ptCount val="1"/>
                <c:pt idx="0">
                  <c:v>Index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Study'!$A$27:$A$32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Study'!$B$27:$B$32</c:f>
              <c:numCache>
                <c:formatCode>General</c:formatCode>
                <c:ptCount val="6"/>
                <c:pt idx="0">
                  <c:v>1.8</c:v>
                </c:pt>
                <c:pt idx="1">
                  <c:v>1.9</c:v>
                </c:pt>
                <c:pt idx="2">
                  <c:v>1.7</c:v>
                </c:pt>
                <c:pt idx="3">
                  <c:v>2.6</c:v>
                </c:pt>
                <c:pt idx="4">
                  <c:v>2.7</c:v>
                </c:pt>
                <c:pt idx="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7B4A-8AC0-DC774498B050}"/>
            </c:ext>
          </c:extLst>
        </c:ser>
        <c:ser>
          <c:idx val="1"/>
          <c:order val="1"/>
          <c:tx>
            <c:strRef>
              <c:f>'Ablation Study'!$C$26</c:f>
              <c:strCache>
                <c:ptCount val="1"/>
                <c:pt idx="0">
                  <c:v>Loop Coalesce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Study'!$A$27:$A$32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Study'!$C$27:$C$32</c:f>
              <c:numCache>
                <c:formatCode>General</c:formatCode>
                <c:ptCount val="6"/>
                <c:pt idx="0">
                  <c:v>2.4</c:v>
                </c:pt>
                <c:pt idx="1">
                  <c:v>2.8</c:v>
                </c:pt>
                <c:pt idx="2">
                  <c:v>2.9</c:v>
                </c:pt>
                <c:pt idx="3">
                  <c:v>2.6</c:v>
                </c:pt>
                <c:pt idx="4">
                  <c:v>2.7</c:v>
                </c:pt>
                <c:pt idx="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A-7B4A-8AC0-DC774498B050}"/>
            </c:ext>
          </c:extLst>
        </c:ser>
        <c:ser>
          <c:idx val="2"/>
          <c:order val="2"/>
          <c:tx>
            <c:strRef>
              <c:f>'Ablation Study'!$D$26</c:f>
              <c:strCache>
                <c:ptCount val="1"/>
                <c:pt idx="0">
                  <c:v>Shadow Mem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Study'!$A$27:$A$32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Study'!$D$27:$D$32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3.9</c:v>
                </c:pt>
                <c:pt idx="4">
                  <c:v>4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A-7B4A-8AC0-DC774498B050}"/>
            </c:ext>
          </c:extLst>
        </c:ser>
        <c:ser>
          <c:idx val="3"/>
          <c:order val="3"/>
          <c:tx>
            <c:strRef>
              <c:f>'Ablation Study'!$E$26</c:f>
              <c:strCache>
                <c:ptCount val="1"/>
                <c:pt idx="0">
                  <c:v>Loop Elimination</c:v>
                </c:pt>
              </c:strCache>
            </c:strRef>
          </c:tx>
          <c:spPr>
            <a:pattFill prst="lgConfetti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Study'!$A$27:$A$32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Study'!$E$27:$E$32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4.3</c:v>
                </c:pt>
                <c:pt idx="2">
                  <c:v>4.4000000000000004</c:v>
                </c:pt>
                <c:pt idx="3">
                  <c:v>3.9</c:v>
                </c:pt>
                <c:pt idx="4">
                  <c:v>4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A-7B4A-8AC0-DC774498B050}"/>
            </c:ext>
          </c:extLst>
        </c:ser>
        <c:ser>
          <c:idx val="4"/>
          <c:order val="4"/>
          <c:tx>
            <c:strRef>
              <c:f>'Ablation Study'!$F$26</c:f>
              <c:strCache>
                <c:ptCount val="1"/>
                <c:pt idx="0">
                  <c:v>Loop Fusion</c:v>
                </c:pt>
              </c:strCache>
            </c:strRef>
          </c:tx>
          <c:spPr>
            <a:pattFill prst="lgGrid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'Ablation Study'!$A$27:$A$32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ls</c:v>
                </c:pt>
                <c:pt idx="5">
                  <c:v>lj</c:v>
                </c:pt>
              </c:strCache>
            </c:strRef>
          </c:cat>
          <c:val>
            <c:numRef>
              <c:f>'Ablation Study'!$F$27:$F$32</c:f>
              <c:numCache>
                <c:formatCode>General</c:formatCode>
                <c:ptCount val="6"/>
                <c:pt idx="0">
                  <c:v>4.5999999999999996</c:v>
                </c:pt>
                <c:pt idx="1">
                  <c:v>4.5</c:v>
                </c:pt>
                <c:pt idx="2">
                  <c:v>4.5</c:v>
                </c:pt>
                <c:pt idx="3">
                  <c:v>4.4000000000000004</c:v>
                </c:pt>
                <c:pt idx="4">
                  <c:v>4.2</c:v>
                </c:pt>
                <c:pt idx="5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A-7B4A-8AC0-DC774498B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85567"/>
        <c:axId val="1134064767"/>
      </c:barChart>
      <c:catAx>
        <c:axId val="11323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064767"/>
        <c:crosses val="autoZero"/>
        <c:auto val="1"/>
        <c:lblAlgn val="ctr"/>
        <c:lblOffset val="100"/>
        <c:noMultiLvlLbl val="0"/>
      </c:catAx>
      <c:valAx>
        <c:axId val="1134064767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855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27</xdr:row>
      <xdr:rowOff>88900</xdr:rowOff>
    </xdr:from>
    <xdr:to>
      <xdr:col>9</xdr:col>
      <xdr:colOff>215900</xdr:colOff>
      <xdr:row>40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2A0B10-185E-67FF-563C-0146DA4CE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494594</xdr:colOff>
      <xdr:row>26</xdr:row>
      <xdr:rowOff>184856</xdr:rowOff>
    </xdr:from>
    <xdr:to>
      <xdr:col>14</xdr:col>
      <xdr:colOff>621594</xdr:colOff>
      <xdr:row>40</xdr:row>
      <xdr:rowOff>83255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C70E10-6577-F5D8-0995-7C435DE3F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297039</xdr:colOff>
      <xdr:row>13</xdr:row>
      <xdr:rowOff>95956</xdr:rowOff>
    </xdr:from>
    <xdr:to>
      <xdr:col>6</xdr:col>
      <xdr:colOff>336550</xdr:colOff>
      <xdr:row>26</xdr:row>
      <xdr:rowOff>191912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109C16-8700-D5F3-42E7-09EB99DA4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1178278</xdr:colOff>
      <xdr:row>13</xdr:row>
      <xdr:rowOff>152401</xdr:rowOff>
    </xdr:from>
    <xdr:to>
      <xdr:col>12</xdr:col>
      <xdr:colOff>35278</xdr:colOff>
      <xdr:row>27</xdr:row>
      <xdr:rowOff>129823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79D201-2511-3E16-F898-D39AB71CE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0.24318</cdr:x>
      <cdr:y>0.30435</cdr:y>
    </cdr:from>
    <cdr:to>
      <cdr:x>0.36614</cdr:x>
      <cdr:y>0.60624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048A02-D11A-A294-AD94-08886D047852}"/>
            </a:ext>
          </a:extLst>
        </cdr:cNvPr>
        <cdr:cNvSpPr txBox="1"/>
      </cdr:nvSpPr>
      <cdr:spPr>
        <a:xfrm xmlns:a="http://schemas.openxmlformats.org/drawingml/2006/main">
          <a:off x="1118011" y="812550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/>
            <a:t>8%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46%</a:t>
          </a:r>
        </a:p>
      </cdr:txBody>
    </cdr:sp>
  </cdr:relSizeAnchor>
  <cdr:relSizeAnchor xmlns:cdr="http://schemas.openxmlformats.org/drawingml/2006/chartDrawing">
    <cdr:from>
      <cdr:x>0.30614</cdr:x>
      <cdr:y>0.1343</cdr:y>
    </cdr:from>
    <cdr:to>
      <cdr:x>0.42909</cdr:x>
      <cdr:y>0.41005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AE7ED6E-11A5-0873-6679-42E46AF14055}"/>
            </a:ext>
          </a:extLst>
        </cdr:cNvPr>
        <cdr:cNvSpPr txBox="1"/>
      </cdr:nvSpPr>
      <cdr:spPr>
        <a:xfrm xmlns:a="http://schemas.openxmlformats.org/drawingml/2006/main">
          <a:off x="1407442" y="358554"/>
          <a:ext cx="565269" cy="736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53%</a:t>
          </a:r>
        </a:p>
        <a:p xmlns:a="http://schemas.openxmlformats.org/drawingml/2006/main">
          <a:r>
            <a:rPr lang="en-US" sz="1400"/>
            <a:t>67%</a:t>
          </a:r>
        </a:p>
        <a:p xmlns:a="http://schemas.openxmlformats.org/drawingml/2006/main">
          <a:r>
            <a:rPr lang="en-US" sz="1400"/>
            <a:t>72%</a:t>
          </a:r>
        </a:p>
      </cdr:txBody>
    </cdr:sp>
  </cdr:relSizeAnchor>
  <cdr:relSizeAnchor xmlns:cdr="http://schemas.openxmlformats.org/drawingml/2006/chartDrawing">
    <cdr:from>
      <cdr:x>0.40029</cdr:x>
      <cdr:y>0.25995</cdr:y>
    </cdr:from>
    <cdr:to>
      <cdr:x>0.52325</cdr:x>
      <cdr:y>0.5357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72D55DD-CA22-5E67-A49A-90E0778E0CCD}"/>
            </a:ext>
          </a:extLst>
        </cdr:cNvPr>
        <cdr:cNvSpPr txBox="1"/>
      </cdr:nvSpPr>
      <cdr:spPr>
        <a:xfrm xmlns:a="http://schemas.openxmlformats.org/drawingml/2006/main">
          <a:off x="1840300" y="694031"/>
          <a:ext cx="565269" cy="736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12%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38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0.47222</cdr:x>
      <cdr:y>0.12172</cdr:y>
    </cdr:from>
    <cdr:to>
      <cdr:x>0.59518</cdr:x>
      <cdr:y>0.39747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09DD0B6-6D1A-B4E5-31EF-D63867A8CED6}"/>
            </a:ext>
          </a:extLst>
        </cdr:cNvPr>
        <cdr:cNvSpPr txBox="1"/>
      </cdr:nvSpPr>
      <cdr:spPr>
        <a:xfrm xmlns:a="http://schemas.openxmlformats.org/drawingml/2006/main">
          <a:off x="2170994" y="324973"/>
          <a:ext cx="565269" cy="736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48%</a:t>
          </a:r>
        </a:p>
        <a:p xmlns:a="http://schemas.openxmlformats.org/drawingml/2006/main">
          <a:r>
            <a:rPr lang="en-US" sz="1400"/>
            <a:t>62%</a:t>
          </a:r>
        </a:p>
        <a:p xmlns:a="http://schemas.openxmlformats.org/drawingml/2006/main">
          <a:r>
            <a:rPr lang="en-US" sz="1400"/>
            <a:t>63%</a:t>
          </a:r>
        </a:p>
      </cdr:txBody>
    </cdr:sp>
  </cdr:relSizeAnchor>
  <cdr:relSizeAnchor xmlns:cdr="http://schemas.openxmlformats.org/drawingml/2006/chartDrawing">
    <cdr:from>
      <cdr:x>0.56111</cdr:x>
      <cdr:y>0.34722</cdr:y>
    </cdr:from>
    <cdr:to>
      <cdr:x>0.68407</cdr:x>
      <cdr:y>0.62297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E973D6-BC19-2FAE-670C-0E6CB6C83D5D}"/>
            </a:ext>
          </a:extLst>
        </cdr:cNvPr>
        <cdr:cNvSpPr txBox="1"/>
      </cdr:nvSpPr>
      <cdr:spPr>
        <a:xfrm xmlns:a="http://schemas.openxmlformats.org/drawingml/2006/main">
          <a:off x="2565400" y="9525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15%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4</a:t>
          </a:r>
          <a:r>
            <a:rPr lang="en-US" sz="1400"/>
            <a:t>7%</a:t>
          </a:r>
        </a:p>
      </cdr:txBody>
    </cdr:sp>
  </cdr:relSizeAnchor>
  <cdr:relSizeAnchor xmlns:cdr="http://schemas.openxmlformats.org/drawingml/2006/chartDrawing">
    <cdr:from>
      <cdr:x>0.63056</cdr:x>
      <cdr:y>0.19907</cdr:y>
    </cdr:from>
    <cdr:to>
      <cdr:x>0.75351</cdr:x>
      <cdr:y>0.47482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3BEF0FA-9804-2569-A7AE-B87F0E49794E}"/>
            </a:ext>
          </a:extLst>
        </cdr:cNvPr>
        <cdr:cNvSpPr txBox="1"/>
      </cdr:nvSpPr>
      <cdr:spPr>
        <a:xfrm xmlns:a="http://schemas.openxmlformats.org/drawingml/2006/main">
          <a:off x="2882900" y="5461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47%</a:t>
          </a:r>
        </a:p>
        <a:p xmlns:a="http://schemas.openxmlformats.org/drawingml/2006/main">
          <a:r>
            <a:rPr lang="en-US" sz="1400"/>
            <a:t>71%</a:t>
          </a:r>
        </a:p>
        <a:p xmlns:a="http://schemas.openxmlformats.org/drawingml/2006/main">
          <a:r>
            <a:rPr lang="en-US" sz="1400"/>
            <a:t>78%</a:t>
          </a:r>
        </a:p>
      </cdr:txBody>
    </cdr:sp>
  </cdr:relSizeAnchor>
  <cdr:relSizeAnchor xmlns:cdr="http://schemas.openxmlformats.org/drawingml/2006/chartDrawing">
    <cdr:from>
      <cdr:x>0.72222</cdr:x>
      <cdr:y>0.40278</cdr:y>
    </cdr:from>
    <cdr:to>
      <cdr:x>0.84518</cdr:x>
      <cdr:y>0.67853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380623D-8B2F-02DF-7744-9C71E8AE8F4F}"/>
            </a:ext>
          </a:extLst>
        </cdr:cNvPr>
        <cdr:cNvSpPr txBox="1"/>
      </cdr:nvSpPr>
      <cdr:spPr>
        <a:xfrm xmlns:a="http://schemas.openxmlformats.org/drawingml/2006/main">
          <a:off x="3302000" y="11049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12%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49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0.79444</cdr:x>
      <cdr:y>0.24537</cdr:y>
    </cdr:from>
    <cdr:to>
      <cdr:x>0.9174</cdr:x>
      <cdr:y>0.52112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E309944-E53B-4F9E-3E96-27848CF55973}"/>
            </a:ext>
          </a:extLst>
        </cdr:cNvPr>
        <cdr:cNvSpPr txBox="1"/>
      </cdr:nvSpPr>
      <cdr:spPr>
        <a:xfrm xmlns:a="http://schemas.openxmlformats.org/drawingml/2006/main">
          <a:off x="3632200" y="6731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51%</a:t>
          </a:r>
        </a:p>
        <a:p xmlns:a="http://schemas.openxmlformats.org/drawingml/2006/main">
          <a:r>
            <a:rPr lang="en-US" sz="1400"/>
            <a:t>78%</a:t>
          </a:r>
        </a:p>
        <a:p xmlns:a="http://schemas.openxmlformats.org/drawingml/2006/main">
          <a:r>
            <a:rPr lang="en-US" sz="1400"/>
            <a:t>79%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0.20833</cdr:x>
      <cdr:y>0.12963</cdr:y>
    </cdr:from>
    <cdr:to>
      <cdr:x>0.33129</cdr:x>
      <cdr:y>0.40538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C0C57A-36EE-B1EA-400C-5ABE91193353}"/>
            </a:ext>
          </a:extLst>
        </cdr:cNvPr>
        <cdr:cNvSpPr txBox="1"/>
      </cdr:nvSpPr>
      <cdr:spPr>
        <a:xfrm xmlns:a="http://schemas.openxmlformats.org/drawingml/2006/main">
          <a:off x="952500" y="3556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61</a:t>
          </a:r>
          <a:r>
            <a:rPr lang="en-US" sz="1400"/>
            <a:t>%</a:t>
          </a:r>
        </a:p>
        <a:p xmlns:a="http://schemas.openxmlformats.org/drawingml/2006/main">
          <a:r>
            <a:rPr lang="en-US" altLang="zh-CN" sz="1400"/>
            <a:t>65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72%</a:t>
          </a:r>
        </a:p>
      </cdr:txBody>
    </cdr:sp>
  </cdr:relSizeAnchor>
  <cdr:relSizeAnchor xmlns:cdr="http://schemas.openxmlformats.org/drawingml/2006/chartDrawing">
    <cdr:from>
      <cdr:x>0.38056</cdr:x>
      <cdr:y>0.13889</cdr:y>
    </cdr:from>
    <cdr:to>
      <cdr:x>0.50351</cdr:x>
      <cdr:y>0.41464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24024C1-894F-4395-0A6F-519C3C0BF665}"/>
            </a:ext>
          </a:extLst>
        </cdr:cNvPr>
        <cdr:cNvSpPr txBox="1"/>
      </cdr:nvSpPr>
      <cdr:spPr>
        <a:xfrm xmlns:a="http://schemas.openxmlformats.org/drawingml/2006/main">
          <a:off x="1739900" y="3810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55</a:t>
          </a:r>
          <a:r>
            <a:rPr lang="en-US" sz="1400"/>
            <a:t>%</a:t>
          </a:r>
        </a:p>
        <a:p xmlns:a="http://schemas.openxmlformats.org/drawingml/2006/main">
          <a:r>
            <a:rPr lang="en-US" altLang="zh-CN" sz="1400"/>
            <a:t>63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7</a:t>
          </a:r>
          <a:r>
            <a:rPr lang="en-US" altLang="zh-CN" sz="1400"/>
            <a:t>8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0.53889</cdr:x>
      <cdr:y>0.18056</cdr:y>
    </cdr:from>
    <cdr:to>
      <cdr:x>0.66184</cdr:x>
      <cdr:y>0.4563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E8E20FB-CD26-A2B4-E3C8-5B3C9156AB9B}"/>
            </a:ext>
          </a:extLst>
        </cdr:cNvPr>
        <cdr:cNvSpPr txBox="1"/>
      </cdr:nvSpPr>
      <cdr:spPr>
        <a:xfrm xmlns:a="http://schemas.openxmlformats.org/drawingml/2006/main">
          <a:off x="2463800" y="4953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5</a:t>
          </a:r>
          <a:r>
            <a:rPr lang="en-US" altLang="zh-CN" sz="1400"/>
            <a:t>7</a:t>
          </a:r>
          <a:r>
            <a:rPr lang="en-US" sz="1400"/>
            <a:t>%</a:t>
          </a:r>
        </a:p>
        <a:p xmlns:a="http://schemas.openxmlformats.org/drawingml/2006/main">
          <a:r>
            <a:rPr lang="en-US" altLang="zh-CN" sz="1400"/>
            <a:t>78</a:t>
          </a:r>
          <a:r>
            <a:rPr lang="en-US" sz="1400"/>
            <a:t>%</a:t>
          </a:r>
        </a:p>
        <a:p xmlns:a="http://schemas.openxmlformats.org/drawingml/2006/main">
          <a:r>
            <a:rPr lang="en-US" altLang="zh-CN" sz="1400"/>
            <a:t>81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0.69444</cdr:x>
      <cdr:y>0.22222</cdr:y>
    </cdr:from>
    <cdr:to>
      <cdr:x>0.81528</cdr:x>
      <cdr:y>0.49797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BE1D7EE-F70B-DBC7-2F4F-6D380A632F73}"/>
            </a:ext>
          </a:extLst>
        </cdr:cNvPr>
        <cdr:cNvSpPr txBox="1"/>
      </cdr:nvSpPr>
      <cdr:spPr>
        <a:xfrm xmlns:a="http://schemas.openxmlformats.org/drawingml/2006/main">
          <a:off x="3175000" y="609600"/>
          <a:ext cx="552450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60</a:t>
          </a:r>
          <a:r>
            <a:rPr lang="en-US" sz="1400"/>
            <a:t>%</a:t>
          </a:r>
        </a:p>
        <a:p xmlns:a="http://schemas.openxmlformats.org/drawingml/2006/main">
          <a:r>
            <a:rPr lang="en-US" altLang="zh-CN" sz="1400"/>
            <a:t>82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72</a:t>
          </a:r>
          <a:r>
            <a:rPr lang="en-US" altLang="zh-CN" sz="1400"/>
            <a:t>%</a:t>
          </a:r>
          <a:r>
            <a:rPr lang="zh-CN" altLang="en-US" sz="1400" baseline="0"/>
            <a:t> </a:t>
          </a:r>
          <a:endParaRPr lang="en-US" sz="1400"/>
        </a:p>
      </cdr:txBody>
    </cdr:sp>
  </cdr:relSizeAnchor>
  <cdr:relSizeAnchor xmlns:cdr="http://schemas.openxmlformats.org/drawingml/2006/chartDrawing">
    <cdr:from>
      <cdr:x>0.13246</cdr:x>
      <cdr:y>0.35448</cdr:y>
    </cdr:from>
    <cdr:to>
      <cdr:x>0.25542</cdr:x>
      <cdr:y>0.63023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614A23F-4E3B-C36A-D441-556178F78CB3}"/>
            </a:ext>
          </a:extLst>
        </cdr:cNvPr>
        <cdr:cNvSpPr txBox="1"/>
      </cdr:nvSpPr>
      <cdr:spPr>
        <a:xfrm xmlns:a="http://schemas.openxmlformats.org/drawingml/2006/main">
          <a:off x="609365" y="944399"/>
          <a:ext cx="565616" cy="734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12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55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0.29722</cdr:x>
      <cdr:y>0.28241</cdr:y>
    </cdr:from>
    <cdr:to>
      <cdr:x>0.42018</cdr:x>
      <cdr:y>0.55815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F12C408-A5FB-3EDF-7D17-9761EE18B32D}"/>
            </a:ext>
          </a:extLst>
        </cdr:cNvPr>
        <cdr:cNvSpPr txBox="1"/>
      </cdr:nvSpPr>
      <cdr:spPr>
        <a:xfrm xmlns:a="http://schemas.openxmlformats.org/drawingml/2006/main">
          <a:off x="1358900" y="7747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21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52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0.45556</cdr:x>
      <cdr:y>0.35185</cdr:y>
    </cdr:from>
    <cdr:to>
      <cdr:x>0.57851</cdr:x>
      <cdr:y>0.6276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CFF7F7A9-1550-BDE1-F6F6-A578FAA4CB0D}"/>
            </a:ext>
          </a:extLst>
        </cdr:cNvPr>
        <cdr:cNvSpPr txBox="1"/>
      </cdr:nvSpPr>
      <cdr:spPr>
        <a:xfrm xmlns:a="http://schemas.openxmlformats.org/drawingml/2006/main">
          <a:off x="2082800" y="9652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27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57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0.625</cdr:x>
      <cdr:y>0.40741</cdr:y>
    </cdr:from>
    <cdr:to>
      <cdr:x>0.74795</cdr:x>
      <cdr:y>0.68315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4EF512E-FFAA-4959-862E-6317F8AAC1FE}"/>
            </a:ext>
          </a:extLst>
        </cdr:cNvPr>
        <cdr:cNvSpPr txBox="1"/>
      </cdr:nvSpPr>
      <cdr:spPr>
        <a:xfrm xmlns:a="http://schemas.openxmlformats.org/drawingml/2006/main">
          <a:off x="2857500" y="1117600"/>
          <a:ext cx="562146" cy="756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400"/>
            <a:t>19</a:t>
          </a:r>
          <a:r>
            <a:rPr lang="en-US" sz="1400"/>
            <a:t>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altLang="zh-CN" sz="1400"/>
            <a:t>60</a:t>
          </a:r>
          <a:r>
            <a:rPr lang="en-US" sz="1400"/>
            <a:t>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0.32719</cdr:x>
      <cdr:y>0.38453</cdr:y>
    </cdr:from>
    <cdr:to>
      <cdr:x>0.45015</cdr:x>
      <cdr:y>0.68706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0DCD0F-3364-E9BA-A955-D417F59354A4}"/>
            </a:ext>
          </a:extLst>
        </cdr:cNvPr>
        <cdr:cNvSpPr txBox="1"/>
      </cdr:nvSpPr>
      <cdr:spPr>
        <a:xfrm xmlns:a="http://schemas.openxmlformats.org/drawingml/2006/main">
          <a:off x="1504245" y="1024467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10%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11%</a:t>
          </a:r>
        </a:p>
      </cdr:txBody>
    </cdr:sp>
  </cdr:relSizeAnchor>
  <cdr:relSizeAnchor xmlns:cdr="http://schemas.openxmlformats.org/drawingml/2006/chartDrawing">
    <cdr:from>
      <cdr:x>0.39779</cdr:x>
      <cdr:y>0.32097</cdr:y>
    </cdr:from>
    <cdr:to>
      <cdr:x>0.52074</cdr:x>
      <cdr:y>0.6235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D08FEC-61AF-82B7-4999-2868CD705742}"/>
            </a:ext>
          </a:extLst>
        </cdr:cNvPr>
        <cdr:cNvSpPr txBox="1"/>
      </cdr:nvSpPr>
      <cdr:spPr>
        <a:xfrm xmlns:a="http://schemas.openxmlformats.org/drawingml/2006/main">
          <a:off x="1828800" y="855133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8%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9%</a:t>
          </a:r>
        </a:p>
      </cdr:txBody>
    </cdr:sp>
  </cdr:relSizeAnchor>
  <cdr:relSizeAnchor xmlns:cdr="http://schemas.openxmlformats.org/drawingml/2006/chartDrawing">
    <cdr:from>
      <cdr:x>0.44997</cdr:x>
      <cdr:y>0.2733</cdr:y>
    </cdr:from>
    <cdr:to>
      <cdr:x>0.57292</cdr:x>
      <cdr:y>0.57583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0126804-7B67-55B6-ABA8-F0AE7E914C2A}"/>
            </a:ext>
          </a:extLst>
        </cdr:cNvPr>
        <cdr:cNvSpPr txBox="1"/>
      </cdr:nvSpPr>
      <cdr:spPr>
        <a:xfrm xmlns:a="http://schemas.openxmlformats.org/drawingml/2006/main">
          <a:off x="2068689" y="728133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8%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9%</a:t>
          </a:r>
        </a:p>
      </cdr:txBody>
    </cdr:sp>
  </cdr:relSizeAnchor>
  <cdr:relSizeAnchor xmlns:cdr="http://schemas.openxmlformats.org/drawingml/2006/chartDrawing">
    <cdr:from>
      <cdr:x>0.52056</cdr:x>
      <cdr:y>0.18326</cdr:y>
    </cdr:from>
    <cdr:to>
      <cdr:x>0.64352</cdr:x>
      <cdr:y>0.48579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4706ED9-2DCD-0C63-8295-B31436A44B1B}"/>
            </a:ext>
          </a:extLst>
        </cdr:cNvPr>
        <cdr:cNvSpPr txBox="1"/>
      </cdr:nvSpPr>
      <cdr:spPr>
        <a:xfrm xmlns:a="http://schemas.openxmlformats.org/drawingml/2006/main">
          <a:off x="2393245" y="488244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19%</a:t>
          </a:r>
        </a:p>
        <a:p xmlns:a="http://schemas.openxmlformats.org/drawingml/2006/main">
          <a:r>
            <a:rPr lang="en-US" sz="1400"/>
            <a:t>71%</a:t>
          </a:r>
        </a:p>
        <a:p xmlns:a="http://schemas.openxmlformats.org/drawingml/2006/main">
          <a:r>
            <a:rPr lang="en-US" sz="1400"/>
            <a:t>27%</a:t>
          </a:r>
        </a:p>
      </cdr:txBody>
    </cdr:sp>
  </cdr:relSizeAnchor>
  <cdr:relSizeAnchor xmlns:cdr="http://schemas.openxmlformats.org/drawingml/2006/chartDrawing">
    <cdr:from>
      <cdr:x>0.65255</cdr:x>
      <cdr:y>0.42691</cdr:y>
    </cdr:from>
    <cdr:to>
      <cdr:x>0.7755</cdr:x>
      <cdr:y>0.72944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1A7FD20-1B74-E0FA-C503-CA1638ADAE22}"/>
            </a:ext>
          </a:extLst>
        </cdr:cNvPr>
        <cdr:cNvSpPr txBox="1"/>
      </cdr:nvSpPr>
      <cdr:spPr>
        <a:xfrm xmlns:a="http://schemas.openxmlformats.org/drawingml/2006/main">
          <a:off x="3000022" y="1137355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9%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12%</a:t>
          </a:r>
        </a:p>
      </cdr:txBody>
    </cdr:sp>
  </cdr:relSizeAnchor>
  <cdr:relSizeAnchor xmlns:cdr="http://schemas.openxmlformats.org/drawingml/2006/chartDrawing">
    <cdr:from>
      <cdr:x>0.71087</cdr:x>
      <cdr:y>0.32097</cdr:y>
    </cdr:from>
    <cdr:to>
      <cdr:x>0.83382</cdr:x>
      <cdr:y>0.6235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CB86602-A1D6-875A-D765-796EFF6C211A}"/>
            </a:ext>
          </a:extLst>
        </cdr:cNvPr>
        <cdr:cNvSpPr txBox="1"/>
      </cdr:nvSpPr>
      <cdr:spPr>
        <a:xfrm xmlns:a="http://schemas.openxmlformats.org/drawingml/2006/main">
          <a:off x="3268133" y="855133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8%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9%</a:t>
          </a:r>
        </a:p>
      </cdr:txBody>
    </cdr:sp>
  </cdr:relSizeAnchor>
  <cdr:relSizeAnchor xmlns:cdr="http://schemas.openxmlformats.org/drawingml/2006/chartDrawing">
    <cdr:from>
      <cdr:x>0.78146</cdr:x>
      <cdr:y>0.29449</cdr:y>
    </cdr:from>
    <cdr:to>
      <cdr:x>0.90441</cdr:x>
      <cdr:y>0.59702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7C5615C2-E73F-3B20-47C5-E03865B746B1}"/>
            </a:ext>
          </a:extLst>
        </cdr:cNvPr>
        <cdr:cNvSpPr txBox="1"/>
      </cdr:nvSpPr>
      <cdr:spPr>
        <a:xfrm xmlns:a="http://schemas.openxmlformats.org/drawingml/2006/main">
          <a:off x="3592688" y="784578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8%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9%</a:t>
          </a:r>
        </a:p>
      </cdr:txBody>
    </cdr:sp>
  </cdr:relSizeAnchor>
  <cdr:relSizeAnchor xmlns:cdr="http://schemas.openxmlformats.org/drawingml/2006/chartDrawing">
    <cdr:from>
      <cdr:x>0.84285</cdr:x>
      <cdr:y>0.15148</cdr:y>
    </cdr:from>
    <cdr:to>
      <cdr:x>0.9658</cdr:x>
      <cdr:y>0.45401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206F041-4EEB-3C84-0277-EC23FB2B55B6}"/>
            </a:ext>
          </a:extLst>
        </cdr:cNvPr>
        <cdr:cNvSpPr txBox="1"/>
      </cdr:nvSpPr>
      <cdr:spPr>
        <a:xfrm xmlns:a="http://schemas.openxmlformats.org/drawingml/2006/main">
          <a:off x="3874912" y="403577"/>
          <a:ext cx="565269" cy="805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21%</a:t>
          </a:r>
        </a:p>
        <a:p xmlns:a="http://schemas.openxmlformats.org/drawingml/2006/main">
          <a:r>
            <a:rPr lang="en-US" sz="1400"/>
            <a:t>79%</a:t>
          </a:r>
        </a:p>
        <a:p xmlns:a="http://schemas.openxmlformats.org/drawingml/2006/main">
          <a:r>
            <a:rPr lang="en-US" sz="1400"/>
            <a:t>36%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0.31176</cdr:x>
      <cdr:y>0.42568</cdr:y>
    </cdr:from>
    <cdr:to>
      <cdr:x>0.43472</cdr:x>
      <cdr:y>0.72821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0DCD0F-3364-E9BA-A955-D417F59354A4}"/>
            </a:ext>
          </a:extLst>
        </cdr:cNvPr>
        <cdr:cNvSpPr txBox="1"/>
      </cdr:nvSpPr>
      <cdr:spPr>
        <a:xfrm xmlns:a="http://schemas.openxmlformats.org/drawingml/2006/main">
          <a:off x="1425358" y="1167731"/>
          <a:ext cx="562173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21%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36%</a:t>
          </a:r>
        </a:p>
      </cdr:txBody>
    </cdr:sp>
  </cdr:relSizeAnchor>
  <cdr:relSizeAnchor xmlns:cdr="http://schemas.openxmlformats.org/drawingml/2006/chartDrawing">
    <cdr:from>
      <cdr:x>0.38861</cdr:x>
      <cdr:y>0.29994</cdr:y>
    </cdr:from>
    <cdr:to>
      <cdr:x>0.51157</cdr:x>
      <cdr:y>0.60247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6D08FEC-61AF-82B7-4999-2868CD705742}"/>
            </a:ext>
          </a:extLst>
        </cdr:cNvPr>
        <cdr:cNvSpPr txBox="1"/>
      </cdr:nvSpPr>
      <cdr:spPr>
        <a:xfrm xmlns:a="http://schemas.openxmlformats.org/drawingml/2006/main">
          <a:off x="1776740" y="822784"/>
          <a:ext cx="562173" cy="8299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21%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36%</a:t>
          </a:r>
        </a:p>
      </cdr:txBody>
    </cdr:sp>
  </cdr:relSizeAnchor>
  <cdr:relSizeAnchor xmlns:cdr="http://schemas.openxmlformats.org/drawingml/2006/chartDrawing">
    <cdr:from>
      <cdr:x>0.45614</cdr:x>
      <cdr:y>0.2733</cdr:y>
    </cdr:from>
    <cdr:to>
      <cdr:x>0.57909</cdr:x>
      <cdr:y>0.57583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0126804-7B67-55B6-ABA8-F0AE7E914C2A}"/>
            </a:ext>
          </a:extLst>
        </cdr:cNvPr>
        <cdr:cNvSpPr txBox="1"/>
      </cdr:nvSpPr>
      <cdr:spPr>
        <a:xfrm xmlns:a="http://schemas.openxmlformats.org/drawingml/2006/main">
          <a:off x="2085485" y="749717"/>
          <a:ext cx="562127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21%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36%</a:t>
          </a:r>
        </a:p>
      </cdr:txBody>
    </cdr:sp>
  </cdr:relSizeAnchor>
  <cdr:relSizeAnchor xmlns:cdr="http://schemas.openxmlformats.org/drawingml/2006/chartDrawing">
    <cdr:from>
      <cdr:x>0.52056</cdr:x>
      <cdr:y>0.08552</cdr:y>
    </cdr:from>
    <cdr:to>
      <cdr:x>0.64352</cdr:x>
      <cdr:y>0.38805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4706ED9-2DCD-0C63-8295-B31436A44B1B}"/>
            </a:ext>
          </a:extLst>
        </cdr:cNvPr>
        <cdr:cNvSpPr txBox="1"/>
      </cdr:nvSpPr>
      <cdr:spPr>
        <a:xfrm xmlns:a="http://schemas.openxmlformats.org/drawingml/2006/main">
          <a:off x="2380000" y="234608"/>
          <a:ext cx="562173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49%</a:t>
          </a:r>
        </a:p>
        <a:p xmlns:a="http://schemas.openxmlformats.org/drawingml/2006/main">
          <a:r>
            <a:rPr lang="en-US" sz="1400"/>
            <a:t>78%</a:t>
          </a:r>
        </a:p>
        <a:p xmlns:a="http://schemas.openxmlformats.org/drawingml/2006/main">
          <a:r>
            <a:rPr lang="en-US" altLang="zh-CN" sz="1400"/>
            <a:t>58</a:t>
          </a:r>
          <a:r>
            <a:rPr lang="en-US" sz="1400"/>
            <a:t>%</a:t>
          </a:r>
        </a:p>
      </cdr:txBody>
    </cdr:sp>
  </cdr:relSizeAnchor>
  <cdr:relSizeAnchor xmlns:cdr="http://schemas.openxmlformats.org/drawingml/2006/chartDrawing">
    <cdr:from>
      <cdr:x>0.64024</cdr:x>
      <cdr:y>0.42675</cdr:y>
    </cdr:from>
    <cdr:to>
      <cdr:x>0.76319</cdr:x>
      <cdr:y>0.72928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1A7FD20-1B74-E0FA-C503-CA1638ADAE22}"/>
            </a:ext>
          </a:extLst>
        </cdr:cNvPr>
        <cdr:cNvSpPr txBox="1"/>
      </cdr:nvSpPr>
      <cdr:spPr>
        <a:xfrm xmlns:a="http://schemas.openxmlformats.org/drawingml/2006/main">
          <a:off x="2927165" y="1170672"/>
          <a:ext cx="562127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19%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37%</a:t>
          </a:r>
        </a:p>
      </cdr:txBody>
    </cdr:sp>
  </cdr:relSizeAnchor>
  <cdr:relSizeAnchor xmlns:cdr="http://schemas.openxmlformats.org/drawingml/2006/chartDrawing">
    <cdr:from>
      <cdr:x>0.71396</cdr:x>
      <cdr:y>0.30554</cdr:y>
    </cdr:from>
    <cdr:to>
      <cdr:x>0.83691</cdr:x>
      <cdr:y>0.60807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CB86602-A1D6-875A-D765-796EFF6C211A}"/>
            </a:ext>
          </a:extLst>
        </cdr:cNvPr>
        <cdr:cNvSpPr txBox="1"/>
      </cdr:nvSpPr>
      <cdr:spPr>
        <a:xfrm xmlns:a="http://schemas.openxmlformats.org/drawingml/2006/main">
          <a:off x="3264209" y="838152"/>
          <a:ext cx="562127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17%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37%</a:t>
          </a:r>
        </a:p>
      </cdr:txBody>
    </cdr:sp>
  </cdr:relSizeAnchor>
  <cdr:relSizeAnchor xmlns:cdr="http://schemas.openxmlformats.org/drawingml/2006/chartDrawing">
    <cdr:from>
      <cdr:x>0.78458</cdr:x>
      <cdr:y>0.27391</cdr:y>
    </cdr:from>
    <cdr:to>
      <cdr:x>0.90754</cdr:x>
      <cdr:y>0.57644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7C5615C2-E73F-3B20-47C5-E03865B746B1}"/>
            </a:ext>
          </a:extLst>
        </cdr:cNvPr>
        <cdr:cNvSpPr txBox="1"/>
      </cdr:nvSpPr>
      <cdr:spPr>
        <a:xfrm xmlns:a="http://schemas.openxmlformats.org/drawingml/2006/main">
          <a:off x="3587097" y="751401"/>
          <a:ext cx="562173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17%</a:t>
          </a:r>
        </a:p>
        <a:p xmlns:a="http://schemas.openxmlformats.org/drawingml/2006/main">
          <a:r>
            <a:rPr lang="en-US" sz="1400"/>
            <a:t>3%</a:t>
          </a:r>
        </a:p>
        <a:p xmlns:a="http://schemas.openxmlformats.org/drawingml/2006/main">
          <a:r>
            <a:rPr lang="en-US" sz="1400"/>
            <a:t>37%</a:t>
          </a:r>
        </a:p>
      </cdr:txBody>
    </cdr:sp>
  </cdr:relSizeAnchor>
  <cdr:relSizeAnchor xmlns:cdr="http://schemas.openxmlformats.org/drawingml/2006/chartDrawing">
    <cdr:from>
      <cdr:x>0.84902</cdr:x>
      <cdr:y>0.03831</cdr:y>
    </cdr:from>
    <cdr:to>
      <cdr:x>0.97197</cdr:x>
      <cdr:y>0.34084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206F041-4EEB-3C84-0277-EC23FB2B55B6}"/>
            </a:ext>
          </a:extLst>
        </cdr:cNvPr>
        <cdr:cNvSpPr txBox="1"/>
      </cdr:nvSpPr>
      <cdr:spPr>
        <a:xfrm xmlns:a="http://schemas.openxmlformats.org/drawingml/2006/main">
          <a:off x="3881732" y="105095"/>
          <a:ext cx="562128" cy="82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/>
            <a:t>42%</a:t>
          </a:r>
        </a:p>
        <a:p xmlns:a="http://schemas.openxmlformats.org/drawingml/2006/main">
          <a:r>
            <a:rPr lang="en-US" sz="1400"/>
            <a:t>71%</a:t>
          </a:r>
        </a:p>
        <a:p xmlns:a="http://schemas.openxmlformats.org/drawingml/2006/main">
          <a:r>
            <a:rPr lang="en-US" sz="1400"/>
            <a:t>66%</a:t>
          </a:r>
        </a:p>
      </cdr:txBody>
    </cdr:sp>
  </cdr:relSizeAnchor>
  <cdr:relSizeAnchor xmlns:cdr="http://schemas.openxmlformats.org/drawingml/2006/chartDrawing">
    <cdr:from>
      <cdr:x>0.64352</cdr:x>
      <cdr:y>0.02881</cdr:y>
    </cdr:from>
    <cdr:to>
      <cdr:x>0.875</cdr:x>
      <cdr:y>0.27881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DBCBD724-83C1-2571-2BEE-CD4994CDF6E5}"/>
            </a:ext>
          </a:extLst>
        </cdr:cNvPr>
        <cdr:cNvSpPr txBox="1"/>
      </cdr:nvSpPr>
      <cdr:spPr>
        <a:xfrm xmlns:a="http://schemas.openxmlformats.org/drawingml/2006/main">
          <a:off x="2942167" y="79022"/>
          <a:ext cx="1058332" cy="6857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/>
            <a:t>Mem </a:t>
          </a:r>
          <a:r>
            <a:rPr lang="en-US" sz="1400" b="1" baseline="0"/>
            <a:t> </a:t>
          </a:r>
          <a:endParaRPr lang="en-US" sz="1400" b="1"/>
        </a:p>
        <a:p xmlns:a="http://schemas.openxmlformats.org/drawingml/2006/main">
          <a:r>
            <a:rPr lang="en-US" sz="1400" b="1"/>
            <a:t>Thread</a:t>
          </a:r>
          <a:r>
            <a:rPr lang="en-US" sz="1400" b="1" baseline="0"/>
            <a:t> Util</a:t>
          </a:r>
          <a:endParaRPr lang="en-US" sz="1400" b="1"/>
        </a:p>
        <a:p xmlns:a="http://schemas.openxmlformats.org/drawingml/2006/main">
          <a:r>
            <a:rPr lang="en-US" altLang="zh-CN" sz="1400" b="1"/>
            <a:t>Occupancy</a:t>
          </a:r>
          <a:endParaRPr lang="en-US" sz="14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13</xdr:row>
      <xdr:rowOff>127000</xdr:rowOff>
    </xdr:from>
    <xdr:to>
      <xdr:col>6</xdr:col>
      <xdr:colOff>412750</xdr:colOff>
      <xdr:row>26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0A5D58-F549-59C1-7850-EBE468DEB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825240</xdr:colOff>
      <xdr:row>1</xdr:row>
      <xdr:rowOff>69017</xdr:rowOff>
    </xdr:from>
    <xdr:to>
      <xdr:col>24</xdr:col>
      <xdr:colOff>445958</xdr:colOff>
      <xdr:row>16</xdr:row>
      <xdr:rowOff>174693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86B55C-87C3-6AB6-FA9F-7CA403105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434926</xdr:colOff>
      <xdr:row>13</xdr:row>
      <xdr:rowOff>22780</xdr:rowOff>
    </xdr:from>
    <xdr:to>
      <xdr:col>16</xdr:col>
      <xdr:colOff>879425</xdr:colOff>
      <xdr:row>30</xdr:row>
      <xdr:rowOff>143430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04D29E0-E6BD-B788-FB5F-13A4D97B9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571756</xdr:colOff>
      <xdr:row>31</xdr:row>
      <xdr:rowOff>150215</xdr:rowOff>
    </xdr:from>
    <xdr:to>
      <xdr:col>17</xdr:col>
      <xdr:colOff>145691</xdr:colOff>
      <xdr:row>47</xdr:row>
      <xdr:rowOff>108428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1D00CA-E26A-113C-1527-474C096A0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0.255</cdr:x>
      <cdr:y>0.15558</cdr:y>
    </cdr:from>
    <cdr:to>
      <cdr:x>0.42706</cdr:x>
      <cdr:y>0.289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6B4B1D1-C59F-F405-25D1-DE7A99B530C4}"/>
            </a:ext>
          </a:extLst>
        </cdr:cNvPr>
        <cdr:cNvSpPr txBox="1"/>
      </cdr:nvSpPr>
      <cdr:spPr>
        <a:xfrm xmlns:a="http://schemas.openxmlformats.org/drawingml/2006/main">
          <a:off x="1176386" y="564594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kern="1200"/>
            <a:t>1%</a:t>
          </a:r>
        </a:p>
      </cdr:txBody>
    </cdr:sp>
  </cdr:relSizeAnchor>
  <cdr:relSizeAnchor xmlns:cdr="http://schemas.openxmlformats.org/drawingml/2006/chartDrawing">
    <cdr:from>
      <cdr:x>0.71817</cdr:x>
      <cdr:y>0.56459</cdr:y>
    </cdr:from>
    <cdr:to>
      <cdr:x>0.89023</cdr:x>
      <cdr:y>0.65923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D885C7B-B8DB-E809-5A71-9AF0088CE6A0}"/>
            </a:ext>
          </a:extLst>
        </cdr:cNvPr>
        <cdr:cNvSpPr txBox="1"/>
      </cdr:nvSpPr>
      <cdr:spPr>
        <a:xfrm xmlns:a="http://schemas.openxmlformats.org/drawingml/2006/main">
          <a:off x="3313112" y="2048908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100%</a:t>
          </a:r>
        </a:p>
      </cdr:txBody>
    </cdr:sp>
  </cdr:relSizeAnchor>
  <cdr:relSizeAnchor xmlns:cdr="http://schemas.openxmlformats.org/drawingml/2006/chartDrawing">
    <cdr:from>
      <cdr:x>0.62698</cdr:x>
      <cdr:y>0.55643</cdr:y>
    </cdr:from>
    <cdr:to>
      <cdr:x>0.79904</cdr:x>
      <cdr:y>0.65107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A68F4AC-B788-D4F5-6730-C4A1730E0BDE}"/>
            </a:ext>
          </a:extLst>
        </cdr:cNvPr>
        <cdr:cNvSpPr txBox="1"/>
      </cdr:nvSpPr>
      <cdr:spPr>
        <a:xfrm xmlns:a="http://schemas.openxmlformats.org/drawingml/2006/main">
          <a:off x="2892426" y="2019300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87%</a:t>
          </a:r>
        </a:p>
      </cdr:txBody>
    </cdr:sp>
  </cdr:relSizeAnchor>
  <cdr:relSizeAnchor xmlns:cdr="http://schemas.openxmlformats.org/drawingml/2006/chartDrawing">
    <cdr:from>
      <cdr:x>0.54095</cdr:x>
      <cdr:y>0.53893</cdr:y>
    </cdr:from>
    <cdr:to>
      <cdr:x>0.71301</cdr:x>
      <cdr:y>0.63357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9FBA35FA-221F-53CC-2CA7-BF2DE7BD321B}"/>
            </a:ext>
          </a:extLst>
        </cdr:cNvPr>
        <cdr:cNvSpPr txBox="1"/>
      </cdr:nvSpPr>
      <cdr:spPr>
        <a:xfrm xmlns:a="http://schemas.openxmlformats.org/drawingml/2006/main">
          <a:off x="2495549" y="1955800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42%</a:t>
          </a:r>
        </a:p>
      </cdr:txBody>
    </cdr:sp>
  </cdr:relSizeAnchor>
  <cdr:relSizeAnchor xmlns:cdr="http://schemas.openxmlformats.org/drawingml/2006/chartDrawing">
    <cdr:from>
      <cdr:x>0.46869</cdr:x>
      <cdr:y>0.49081</cdr:y>
    </cdr:from>
    <cdr:to>
      <cdr:x>0.64074</cdr:x>
      <cdr:y>0.58545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ED2E816-CABC-CF1B-5D8C-99BD0ECB50FD}"/>
            </a:ext>
          </a:extLst>
        </cdr:cNvPr>
        <cdr:cNvSpPr txBox="1"/>
      </cdr:nvSpPr>
      <cdr:spPr>
        <a:xfrm xmlns:a="http://schemas.openxmlformats.org/drawingml/2006/main">
          <a:off x="2162176" y="1781175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19%</a:t>
          </a:r>
        </a:p>
      </cdr:txBody>
    </cdr:sp>
  </cdr:relSizeAnchor>
  <cdr:relSizeAnchor xmlns:cdr="http://schemas.openxmlformats.org/drawingml/2006/chartDrawing">
    <cdr:from>
      <cdr:x>0.40502</cdr:x>
      <cdr:y>0.40114</cdr:y>
    </cdr:from>
    <cdr:to>
      <cdr:x>0.57708</cdr:x>
      <cdr:y>0.49578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DF6E6E2-512D-CA14-999A-84E9362BEA72}"/>
            </a:ext>
          </a:extLst>
        </cdr:cNvPr>
        <cdr:cNvSpPr txBox="1"/>
      </cdr:nvSpPr>
      <cdr:spPr>
        <a:xfrm xmlns:a="http://schemas.openxmlformats.org/drawingml/2006/main">
          <a:off x="1868488" y="1455738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8%</a:t>
          </a:r>
        </a:p>
      </cdr:txBody>
    </cdr:sp>
  </cdr:relSizeAnchor>
  <cdr:relSizeAnchor xmlns:cdr="http://schemas.openxmlformats.org/drawingml/2006/chartDrawing">
    <cdr:from>
      <cdr:x>0.3276</cdr:x>
      <cdr:y>0.32458</cdr:y>
    </cdr:from>
    <cdr:to>
      <cdr:x>0.49966</cdr:x>
      <cdr:y>0.41923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5C84459-5F6B-9FDB-C965-CA75CB64D1A6}"/>
            </a:ext>
          </a:extLst>
        </cdr:cNvPr>
        <cdr:cNvSpPr txBox="1"/>
      </cdr:nvSpPr>
      <cdr:spPr>
        <a:xfrm xmlns:a="http://schemas.openxmlformats.org/drawingml/2006/main">
          <a:off x="1511301" y="1177925"/>
          <a:ext cx="793750" cy="343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3%</a:t>
          </a:r>
        </a:p>
      </cdr:txBody>
    </cdr:sp>
  </cdr:relSizeAnchor>
  <cdr:relSizeAnchor xmlns:cdr="http://schemas.openxmlformats.org/drawingml/2006/chartDrawing">
    <cdr:from>
      <cdr:x>0.22953</cdr:x>
      <cdr:y>0.55862</cdr:y>
    </cdr:from>
    <cdr:to>
      <cdr:x>0.40158</cdr:x>
      <cdr:y>0.69204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109A3DDA-21CD-1822-7D7D-B3B1B7F853A9}"/>
            </a:ext>
          </a:extLst>
        </cdr:cNvPr>
        <cdr:cNvSpPr txBox="1"/>
      </cdr:nvSpPr>
      <cdr:spPr>
        <a:xfrm xmlns:a="http://schemas.openxmlformats.org/drawingml/2006/main">
          <a:off x="1058862" y="2027237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100%</a:t>
          </a:r>
        </a:p>
      </cdr:txBody>
    </cdr:sp>
  </cdr:relSizeAnchor>
  <cdr:relSizeAnchor xmlns:cdr="http://schemas.openxmlformats.org/drawingml/2006/chartDrawing">
    <cdr:from>
      <cdr:x>0.2</cdr:x>
      <cdr:y>0.49165</cdr:y>
    </cdr:from>
    <cdr:to>
      <cdr:x>0.50372</cdr:x>
      <cdr:y>0.57338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C2ED9AF5-4EEC-2881-5203-71FD272C00A3}"/>
            </a:ext>
          </a:extLst>
        </cdr:cNvPr>
        <cdr:cNvSpPr txBox="1"/>
      </cdr:nvSpPr>
      <cdr:spPr>
        <a:xfrm xmlns:a="http://schemas.openxmlformats.org/drawingml/2006/main">
          <a:off x="924560" y="1757681"/>
          <a:ext cx="1404034" cy="292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GPU Utilization: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0.72537</cdr:x>
      <cdr:y>0.57068</cdr:y>
    </cdr:from>
    <cdr:to>
      <cdr:x>0.8971</cdr:x>
      <cdr:y>0.7192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C86AE6E-C2EA-0EE1-4C95-ECCDED42F738}"/>
            </a:ext>
          </a:extLst>
        </cdr:cNvPr>
        <cdr:cNvSpPr txBox="1"/>
      </cdr:nvSpPr>
      <cdr:spPr>
        <a:xfrm xmlns:a="http://schemas.openxmlformats.org/drawingml/2006/main">
          <a:off x="3352800" y="1860550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100%</a:t>
          </a:r>
        </a:p>
      </cdr:txBody>
    </cdr:sp>
  </cdr:relSizeAnchor>
  <cdr:relSizeAnchor xmlns:cdr="http://schemas.openxmlformats.org/drawingml/2006/chartDrawing">
    <cdr:from>
      <cdr:x>0.63092</cdr:x>
      <cdr:y>0.56581</cdr:y>
    </cdr:from>
    <cdr:to>
      <cdr:x>0.80265</cdr:x>
      <cdr:y>0.71433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3DCE3C06-1167-A2A1-09D8-3AEF89E00BDE}"/>
            </a:ext>
          </a:extLst>
        </cdr:cNvPr>
        <cdr:cNvSpPr txBox="1"/>
      </cdr:nvSpPr>
      <cdr:spPr>
        <a:xfrm xmlns:a="http://schemas.openxmlformats.org/drawingml/2006/main">
          <a:off x="2916237" y="1844675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82%</a:t>
          </a:r>
        </a:p>
      </cdr:txBody>
    </cdr:sp>
  </cdr:relSizeAnchor>
  <cdr:relSizeAnchor xmlns:cdr="http://schemas.openxmlformats.org/drawingml/2006/chartDrawing">
    <cdr:from>
      <cdr:x>0.54162</cdr:x>
      <cdr:y>0.54147</cdr:y>
    </cdr:from>
    <cdr:to>
      <cdr:x>0.71335</cdr:x>
      <cdr:y>0.68998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E7C3DB4-883A-6922-AB2D-962E0B727FFC}"/>
            </a:ext>
          </a:extLst>
        </cdr:cNvPr>
        <cdr:cNvSpPr txBox="1"/>
      </cdr:nvSpPr>
      <cdr:spPr>
        <a:xfrm xmlns:a="http://schemas.openxmlformats.org/drawingml/2006/main">
          <a:off x="2503487" y="1765300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39%</a:t>
          </a:r>
        </a:p>
      </cdr:txBody>
    </cdr:sp>
  </cdr:relSizeAnchor>
  <cdr:relSizeAnchor xmlns:cdr="http://schemas.openxmlformats.org/drawingml/2006/chartDrawing">
    <cdr:from>
      <cdr:x>0.46435</cdr:x>
      <cdr:y>0.48304</cdr:y>
    </cdr:from>
    <cdr:to>
      <cdr:x>0.63607</cdr:x>
      <cdr:y>0.63155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78AF343-F3C2-AF16-E655-087A62CFA69F}"/>
            </a:ext>
          </a:extLst>
        </cdr:cNvPr>
        <cdr:cNvSpPr txBox="1"/>
      </cdr:nvSpPr>
      <cdr:spPr>
        <a:xfrm xmlns:a="http://schemas.openxmlformats.org/drawingml/2006/main">
          <a:off x="2146300" y="1574800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18%</a:t>
          </a:r>
        </a:p>
      </cdr:txBody>
    </cdr:sp>
  </cdr:relSizeAnchor>
  <cdr:relSizeAnchor xmlns:cdr="http://schemas.openxmlformats.org/drawingml/2006/chartDrawing">
    <cdr:from>
      <cdr:x>0.38707</cdr:x>
      <cdr:y>0.40269</cdr:y>
    </cdr:from>
    <cdr:to>
      <cdr:x>0.5588</cdr:x>
      <cdr:y>0.55121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64A5C01-6B9F-D1A0-1864-9C4B3CAAC743}"/>
            </a:ext>
          </a:extLst>
        </cdr:cNvPr>
        <cdr:cNvSpPr txBox="1"/>
      </cdr:nvSpPr>
      <cdr:spPr>
        <a:xfrm xmlns:a="http://schemas.openxmlformats.org/drawingml/2006/main">
          <a:off x="1789113" y="1312862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9%</a:t>
          </a:r>
        </a:p>
      </cdr:txBody>
    </cdr:sp>
  </cdr:relSizeAnchor>
  <cdr:relSizeAnchor xmlns:cdr="http://schemas.openxmlformats.org/drawingml/2006/chartDrawing">
    <cdr:from>
      <cdr:x>0.33384</cdr:x>
      <cdr:y>0.30774</cdr:y>
    </cdr:from>
    <cdr:to>
      <cdr:x>0.50556</cdr:x>
      <cdr:y>0.45625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E6EDA88-F50A-0CDE-8EE4-4C8EBDFAC707}"/>
            </a:ext>
          </a:extLst>
        </cdr:cNvPr>
        <cdr:cNvSpPr txBox="1"/>
      </cdr:nvSpPr>
      <cdr:spPr>
        <a:xfrm xmlns:a="http://schemas.openxmlformats.org/drawingml/2006/main">
          <a:off x="1543050" y="1003300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4%</a:t>
          </a:r>
        </a:p>
      </cdr:txBody>
    </cdr:sp>
  </cdr:relSizeAnchor>
  <cdr:relSizeAnchor xmlns:cdr="http://schemas.openxmlformats.org/drawingml/2006/chartDrawing">
    <cdr:from>
      <cdr:x>0.24454</cdr:x>
      <cdr:y>0.14218</cdr:y>
    </cdr:from>
    <cdr:to>
      <cdr:x>0.41626</cdr:x>
      <cdr:y>0.2907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6AE7DC0E-8825-7751-3503-B25CF032138B}"/>
            </a:ext>
          </a:extLst>
        </cdr:cNvPr>
        <cdr:cNvSpPr txBox="1"/>
      </cdr:nvSpPr>
      <cdr:spPr>
        <a:xfrm xmlns:a="http://schemas.openxmlformats.org/drawingml/2006/main">
          <a:off x="1130300" y="463549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2%</a:t>
          </a:r>
        </a:p>
      </cdr:txBody>
    </cdr:sp>
  </cdr:relSizeAnchor>
  <cdr:relSizeAnchor xmlns:cdr="http://schemas.openxmlformats.org/drawingml/2006/chartDrawing">
    <cdr:from>
      <cdr:x>0.23595</cdr:x>
      <cdr:y>0.56338</cdr:y>
    </cdr:from>
    <cdr:to>
      <cdr:x>0.40768</cdr:x>
      <cdr:y>0.71189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CE3E1C4-6E43-016F-C0C8-A743F34BA3B7}"/>
            </a:ext>
          </a:extLst>
        </cdr:cNvPr>
        <cdr:cNvSpPr txBox="1"/>
      </cdr:nvSpPr>
      <cdr:spPr>
        <a:xfrm xmlns:a="http://schemas.openxmlformats.org/drawingml/2006/main">
          <a:off x="1090613" y="1836738"/>
          <a:ext cx="793750" cy="484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/>
            <a:t>100%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812800</xdr:colOff>
      <xdr:row>5</xdr:row>
      <xdr:rowOff>165100</xdr:rowOff>
    </xdr:from>
    <xdr:to>
      <xdr:col>25</xdr:col>
      <xdr:colOff>641350</xdr:colOff>
      <xdr:row>26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6EFDBA-1C84-09BD-FD38-069A6B067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425450</xdr:colOff>
      <xdr:row>0</xdr:row>
      <xdr:rowOff>0</xdr:rowOff>
    </xdr:from>
    <xdr:to>
      <xdr:col>18</xdr:col>
      <xdr:colOff>63500</xdr:colOff>
      <xdr:row>16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156A85-C625-7603-5526-782459F72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520700</xdr:colOff>
      <xdr:row>44</xdr:row>
      <xdr:rowOff>0</xdr:rowOff>
    </xdr:from>
    <xdr:to>
      <xdr:col>10</xdr:col>
      <xdr:colOff>330200</xdr:colOff>
      <xdr:row>60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20C8D5-8627-E4D9-AADF-DD38B0F33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749300</xdr:colOff>
      <xdr:row>47</xdr:row>
      <xdr:rowOff>177800</xdr:rowOff>
    </xdr:from>
    <xdr:to>
      <xdr:col>14</xdr:col>
      <xdr:colOff>723900</xdr:colOff>
      <xdr:row>66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C146C3-791A-19BC-42F7-1863316C9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127000</xdr:colOff>
      <xdr:row>18</xdr:row>
      <xdr:rowOff>177800</xdr:rowOff>
    </xdr:from>
    <xdr:to>
      <xdr:col>25</xdr:col>
      <xdr:colOff>63500</xdr:colOff>
      <xdr:row>35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30E56C-76D3-3256-04D5-D1927747E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5904-4129-E649-87F8-9CA6196657C1}">
  <dimension ref="A1:E9"/>
  <sheetViews>
    <sheetView zoomScale="75" workbookViewId="0">
      <selection activeCell="B6" sqref="B6"/>
    </sheetView>
  </sheetViews>
  <sheetFormatPr baseColWidth="10" defaultColWidth="11" defaultRowHeight="16" x14ac:dyDescent="0.2"/>
  <sheetData>
    <row r="1" spans="1:5" x14ac:dyDescent="0.2">
      <c r="A1" s="40" t="s">
        <v>30</v>
      </c>
      <c r="B1" s="40" t="s">
        <v>0</v>
      </c>
      <c r="C1" s="41" t="s">
        <v>1</v>
      </c>
      <c r="D1" s="42" t="s">
        <v>2</v>
      </c>
      <c r="E1" s="42" t="s">
        <v>3</v>
      </c>
    </row>
    <row r="2" spans="1:5" x14ac:dyDescent="0.2">
      <c r="A2" s="43" t="s">
        <v>17</v>
      </c>
      <c r="B2" s="3" t="s">
        <v>32</v>
      </c>
      <c r="C2" s="3" t="s">
        <v>28</v>
      </c>
      <c r="D2" s="3" t="s">
        <v>29</v>
      </c>
      <c r="E2" s="3">
        <v>1383</v>
      </c>
    </row>
    <row r="3" spans="1:5" x14ac:dyDescent="0.2">
      <c r="A3" s="44" t="s">
        <v>8</v>
      </c>
      <c r="B3" s="4" t="s">
        <v>9</v>
      </c>
      <c r="C3" s="4" t="s">
        <v>10</v>
      </c>
      <c r="D3" s="4" t="s">
        <v>11</v>
      </c>
      <c r="E3" s="4">
        <v>549</v>
      </c>
    </row>
    <row r="4" spans="1:5" x14ac:dyDescent="0.2">
      <c r="A4" s="44" t="s">
        <v>4</v>
      </c>
      <c r="B4" s="4" t="s">
        <v>5</v>
      </c>
      <c r="C4" s="4" t="s">
        <v>6</v>
      </c>
      <c r="D4" s="4" t="s">
        <v>7</v>
      </c>
      <c r="E4" s="4">
        <v>343</v>
      </c>
    </row>
    <row r="5" spans="1:5" x14ac:dyDescent="0.2">
      <c r="A5" s="44" t="s">
        <v>18</v>
      </c>
      <c r="B5" s="4" t="s">
        <v>33</v>
      </c>
      <c r="C5" s="4" t="s">
        <v>22</v>
      </c>
      <c r="D5" s="4" t="s">
        <v>23</v>
      </c>
      <c r="E5" s="4" t="s">
        <v>24</v>
      </c>
    </row>
    <row r="6" spans="1:5" x14ac:dyDescent="0.2">
      <c r="A6" s="44" t="s">
        <v>19</v>
      </c>
      <c r="B6" s="4" t="s">
        <v>20</v>
      </c>
      <c r="C6" s="4" t="s">
        <v>25</v>
      </c>
      <c r="D6" s="4" t="s">
        <v>26</v>
      </c>
      <c r="E6" s="4" t="s">
        <v>27</v>
      </c>
    </row>
    <row r="7" spans="1:5" x14ac:dyDescent="0.2">
      <c r="A7" s="45" t="s">
        <v>13</v>
      </c>
      <c r="B7" s="6" t="s">
        <v>14</v>
      </c>
      <c r="C7" s="6" t="s">
        <v>15</v>
      </c>
      <c r="D7" s="6" t="s">
        <v>16</v>
      </c>
      <c r="E7" s="6">
        <v>14815</v>
      </c>
    </row>
    <row r="9" spans="1:5" x14ac:dyDescent="0.2">
      <c r="B9" s="7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E168-E607-F546-B29F-C203326B004D}">
  <dimension ref="B1:AC58"/>
  <sheetViews>
    <sheetView topLeftCell="A4" zoomScale="64" workbookViewId="0">
      <selection activeCell="K26" sqref="K26"/>
    </sheetView>
  </sheetViews>
  <sheetFormatPr baseColWidth="10" defaultColWidth="11" defaultRowHeight="16" x14ac:dyDescent="0.2"/>
  <cols>
    <col min="2" max="2" width="7.33203125" customWidth="1"/>
  </cols>
  <sheetData>
    <row r="1" spans="2:29" x14ac:dyDescent="0.2">
      <c r="B1" s="36" t="s">
        <v>31</v>
      </c>
      <c r="C1" s="9"/>
      <c r="D1" s="10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28" t="s">
        <v>42</v>
      </c>
      <c r="J1" s="9" t="s">
        <v>43</v>
      </c>
      <c r="K1" s="9" t="s">
        <v>44</v>
      </c>
      <c r="L1" s="11" t="s">
        <v>45</v>
      </c>
      <c r="N1" s="36" t="s">
        <v>31</v>
      </c>
      <c r="O1" s="9"/>
      <c r="P1" s="10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11" t="s">
        <v>45</v>
      </c>
    </row>
    <row r="2" spans="2:29" x14ac:dyDescent="0.2">
      <c r="B2" s="61" t="s">
        <v>32</v>
      </c>
      <c r="C2" s="37" t="s">
        <v>36</v>
      </c>
      <c r="D2" s="29">
        <v>192</v>
      </c>
      <c r="E2" s="29">
        <v>110</v>
      </c>
      <c r="F2" s="29">
        <v>41</v>
      </c>
      <c r="G2" s="29" t="s">
        <v>59</v>
      </c>
      <c r="H2" s="29" t="s">
        <v>59</v>
      </c>
      <c r="I2" s="2">
        <v>1.1000000000000001</v>
      </c>
      <c r="J2" s="29">
        <v>5.2</v>
      </c>
      <c r="K2" s="29">
        <v>864</v>
      </c>
      <c r="L2" s="27">
        <v>13</v>
      </c>
      <c r="N2" s="61" t="s">
        <v>32</v>
      </c>
      <c r="O2" s="37" t="s">
        <v>36</v>
      </c>
      <c r="P2" s="29">
        <v>401</v>
      </c>
      <c r="Q2" s="29">
        <v>306</v>
      </c>
      <c r="R2" s="29">
        <v>125</v>
      </c>
      <c r="S2" s="29">
        <v>1932</v>
      </c>
      <c r="T2" s="29">
        <v>6633</v>
      </c>
      <c r="U2" s="29">
        <v>61</v>
      </c>
      <c r="V2" s="29">
        <v>95</v>
      </c>
      <c r="W2" s="29">
        <v>1283</v>
      </c>
      <c r="X2" s="27">
        <v>135</v>
      </c>
    </row>
    <row r="3" spans="2:29" x14ac:dyDescent="0.2">
      <c r="B3" s="62"/>
      <c r="C3" s="38" t="s">
        <v>35</v>
      </c>
      <c r="D3" s="31">
        <v>16</v>
      </c>
      <c r="E3" s="31">
        <v>1.6</v>
      </c>
      <c r="F3" s="31">
        <v>8.4</v>
      </c>
      <c r="G3" s="31">
        <v>1237</v>
      </c>
      <c r="H3" s="31">
        <v>1662</v>
      </c>
      <c r="I3" s="5">
        <v>0.1</v>
      </c>
      <c r="J3" s="31">
        <v>0.01</v>
      </c>
      <c r="K3" s="31">
        <v>1.5</v>
      </c>
      <c r="L3" s="33">
        <v>1.2</v>
      </c>
      <c r="N3" s="62"/>
      <c r="O3" s="38" t="s">
        <v>35</v>
      </c>
      <c r="P3" s="31">
        <v>97</v>
      </c>
      <c r="Q3" s="31">
        <v>30</v>
      </c>
      <c r="R3" s="31">
        <v>62</v>
      </c>
      <c r="S3" s="31">
        <v>1788</v>
      </c>
      <c r="T3" s="31">
        <v>1057</v>
      </c>
      <c r="U3" s="31">
        <v>20</v>
      </c>
      <c r="V3" s="31">
        <v>21</v>
      </c>
      <c r="W3" s="31">
        <v>38</v>
      </c>
      <c r="X3" s="33">
        <v>34</v>
      </c>
    </row>
    <row r="4" spans="2:29" x14ac:dyDescent="0.2">
      <c r="B4" s="63" t="s">
        <v>9</v>
      </c>
      <c r="C4" s="37" t="s">
        <v>36</v>
      </c>
      <c r="D4" s="29">
        <v>13</v>
      </c>
      <c r="E4" s="29">
        <v>13</v>
      </c>
      <c r="F4" s="29">
        <v>5.0999999999999996</v>
      </c>
      <c r="G4" s="29">
        <v>48</v>
      </c>
      <c r="H4" s="29">
        <v>92</v>
      </c>
      <c r="I4" s="2">
        <v>1.9</v>
      </c>
      <c r="J4" s="29">
        <v>2.2000000000000002</v>
      </c>
      <c r="K4" s="29">
        <v>28</v>
      </c>
      <c r="L4" s="27">
        <v>5.2</v>
      </c>
      <c r="N4" s="63" t="s">
        <v>9</v>
      </c>
      <c r="O4" s="37" t="s">
        <v>36</v>
      </c>
      <c r="P4" s="29">
        <v>354</v>
      </c>
      <c r="Q4" s="29">
        <v>324</v>
      </c>
      <c r="R4" s="29">
        <v>301</v>
      </c>
      <c r="S4" s="29">
        <v>414</v>
      </c>
      <c r="T4" s="29">
        <v>433</v>
      </c>
      <c r="U4" s="29">
        <v>263</v>
      </c>
      <c r="V4" s="29">
        <v>283</v>
      </c>
      <c r="W4" s="29">
        <v>359</v>
      </c>
      <c r="X4" s="27">
        <v>309</v>
      </c>
    </row>
    <row r="5" spans="2:29" x14ac:dyDescent="0.2">
      <c r="B5" s="64"/>
      <c r="C5" s="38" t="s">
        <v>35</v>
      </c>
      <c r="D5" s="31">
        <v>0.1</v>
      </c>
      <c r="E5" s="31">
        <v>0.1</v>
      </c>
      <c r="F5" s="31">
        <v>0.5</v>
      </c>
      <c r="G5" s="31">
        <v>1.8</v>
      </c>
      <c r="H5" s="31">
        <v>0.5</v>
      </c>
      <c r="I5" s="5">
        <v>0.08</v>
      </c>
      <c r="J5" s="31">
        <v>0.09</v>
      </c>
      <c r="K5" s="31">
        <v>0.1</v>
      </c>
      <c r="L5" s="33">
        <v>0.1</v>
      </c>
      <c r="N5" s="64"/>
      <c r="O5" s="38" t="s">
        <v>35</v>
      </c>
      <c r="P5" s="31">
        <v>113</v>
      </c>
      <c r="Q5" s="31">
        <v>98</v>
      </c>
      <c r="R5" s="31">
        <v>97</v>
      </c>
      <c r="S5" s="31">
        <v>96</v>
      </c>
      <c r="T5" s="31">
        <v>97</v>
      </c>
      <c r="U5" s="31">
        <v>97</v>
      </c>
      <c r="V5" s="31">
        <v>97</v>
      </c>
      <c r="W5" s="31">
        <v>97</v>
      </c>
      <c r="X5" s="33">
        <v>99</v>
      </c>
    </row>
    <row r="6" spans="2:29" x14ac:dyDescent="0.2">
      <c r="B6" s="63" t="s">
        <v>5</v>
      </c>
      <c r="C6" s="37" t="s">
        <v>36</v>
      </c>
      <c r="D6" s="29">
        <v>68</v>
      </c>
      <c r="E6" s="29">
        <v>64</v>
      </c>
      <c r="F6" s="29">
        <v>45</v>
      </c>
      <c r="G6" s="29">
        <v>2165</v>
      </c>
      <c r="H6" s="29">
        <v>3861</v>
      </c>
      <c r="I6" s="2">
        <v>3.1</v>
      </c>
      <c r="J6" s="29">
        <v>4.8</v>
      </c>
      <c r="K6" s="29">
        <v>181</v>
      </c>
      <c r="L6" s="27">
        <v>9.1</v>
      </c>
      <c r="N6" s="63" t="s">
        <v>5</v>
      </c>
      <c r="O6" s="37" t="s">
        <v>36</v>
      </c>
      <c r="P6" s="29">
        <v>562</v>
      </c>
      <c r="Q6" s="29">
        <v>498</v>
      </c>
      <c r="R6" s="29">
        <v>433</v>
      </c>
      <c r="S6" s="29">
        <v>3473</v>
      </c>
      <c r="T6" s="29">
        <v>3885</v>
      </c>
      <c r="U6" s="29">
        <v>282</v>
      </c>
      <c r="V6" s="29">
        <v>299</v>
      </c>
      <c r="W6" s="29">
        <v>704</v>
      </c>
      <c r="X6" s="27">
        <v>352</v>
      </c>
    </row>
    <row r="7" spans="2:29" x14ac:dyDescent="0.2">
      <c r="B7" s="64"/>
      <c r="C7" s="38" t="s">
        <v>35</v>
      </c>
      <c r="D7" s="31">
        <v>2.2999999999999998</v>
      </c>
      <c r="E7" s="31">
        <v>1.2</v>
      </c>
      <c r="F7" s="31">
        <v>2.8</v>
      </c>
      <c r="G7" s="31">
        <v>367</v>
      </c>
      <c r="H7" s="31">
        <v>116</v>
      </c>
      <c r="I7" s="5">
        <v>0.04</v>
      </c>
      <c r="J7" s="31">
        <v>0.05</v>
      </c>
      <c r="K7" s="31">
        <v>1.2</v>
      </c>
      <c r="L7" s="33">
        <v>0.08</v>
      </c>
      <c r="N7" s="64"/>
      <c r="O7" s="38" t="s">
        <v>35</v>
      </c>
      <c r="P7" s="31">
        <v>119</v>
      </c>
      <c r="Q7" s="31">
        <v>107</v>
      </c>
      <c r="R7" s="31">
        <v>130</v>
      </c>
      <c r="S7" s="31">
        <v>2555</v>
      </c>
      <c r="T7" s="31">
        <v>329</v>
      </c>
      <c r="U7" s="31">
        <v>108</v>
      </c>
      <c r="V7" s="31">
        <v>108</v>
      </c>
      <c r="W7" s="31">
        <v>107</v>
      </c>
      <c r="X7" s="33">
        <v>82</v>
      </c>
    </row>
    <row r="8" spans="2:29" x14ac:dyDescent="0.2">
      <c r="B8" s="63" t="s">
        <v>33</v>
      </c>
      <c r="C8" s="37" t="s">
        <v>36</v>
      </c>
      <c r="D8" s="29">
        <v>724</v>
      </c>
      <c r="E8" s="29">
        <v>480</v>
      </c>
      <c r="F8" s="29">
        <v>5.8</v>
      </c>
      <c r="G8" s="29">
        <v>99</v>
      </c>
      <c r="H8" s="29">
        <v>803</v>
      </c>
      <c r="I8" s="2">
        <v>2.7</v>
      </c>
      <c r="J8" s="29">
        <v>1654</v>
      </c>
      <c r="K8" s="29">
        <v>1384</v>
      </c>
      <c r="L8" s="27">
        <v>4027</v>
      </c>
      <c r="N8" s="63" t="s">
        <v>33</v>
      </c>
      <c r="O8" s="37" t="s">
        <v>36</v>
      </c>
      <c r="P8" s="32">
        <v>6388</v>
      </c>
      <c r="Q8" s="32">
        <v>4387</v>
      </c>
      <c r="R8" s="32">
        <v>1164</v>
      </c>
      <c r="S8" s="32">
        <v>2208</v>
      </c>
      <c r="T8" s="32">
        <v>5083</v>
      </c>
      <c r="U8" s="32">
        <v>1183</v>
      </c>
      <c r="V8" s="32" t="s">
        <v>96</v>
      </c>
      <c r="W8" s="32" t="s">
        <v>94</v>
      </c>
      <c r="X8" s="7" t="s">
        <v>64</v>
      </c>
    </row>
    <row r="9" spans="2:29" x14ac:dyDescent="0.2">
      <c r="B9" s="64"/>
      <c r="C9" s="38" t="s">
        <v>35</v>
      </c>
      <c r="D9" s="31">
        <v>5.3</v>
      </c>
      <c r="E9" s="31">
        <v>1.2</v>
      </c>
      <c r="F9" s="31">
        <v>1.1000000000000001</v>
      </c>
      <c r="G9" s="31">
        <v>8.1999999999999993</v>
      </c>
      <c r="H9" s="31">
        <v>21</v>
      </c>
      <c r="I9" s="5">
        <v>0.3</v>
      </c>
      <c r="J9" s="31">
        <v>12</v>
      </c>
      <c r="K9" s="31">
        <v>12</v>
      </c>
      <c r="L9" s="33">
        <v>232</v>
      </c>
      <c r="N9" s="64"/>
      <c r="O9" s="38" t="s">
        <v>35</v>
      </c>
      <c r="P9" s="31">
        <v>404</v>
      </c>
      <c r="Q9" s="31">
        <v>449</v>
      </c>
      <c r="R9" s="31">
        <v>410</v>
      </c>
      <c r="S9" s="31">
        <v>397</v>
      </c>
      <c r="T9" s="31">
        <v>437</v>
      </c>
      <c r="U9" s="31">
        <v>446</v>
      </c>
      <c r="V9" s="31" t="s">
        <v>95</v>
      </c>
      <c r="W9" s="31" t="s">
        <v>95</v>
      </c>
      <c r="X9" s="33" t="s">
        <v>96</v>
      </c>
    </row>
    <row r="10" spans="2:29" x14ac:dyDescent="0.2">
      <c r="N10" s="63" t="s">
        <v>20</v>
      </c>
      <c r="O10" s="37" t="s">
        <v>36</v>
      </c>
      <c r="P10" s="12" t="s">
        <v>66</v>
      </c>
      <c r="Q10" s="12" t="s">
        <v>68</v>
      </c>
      <c r="R10" s="12" t="s">
        <v>70</v>
      </c>
      <c r="S10" s="12" t="s">
        <v>71</v>
      </c>
      <c r="T10" s="12" t="s">
        <v>73</v>
      </c>
      <c r="U10" s="12" t="s">
        <v>63</v>
      </c>
      <c r="V10" s="12" t="s">
        <v>75</v>
      </c>
      <c r="W10" s="12" t="s">
        <v>76</v>
      </c>
      <c r="X10" s="13" t="s">
        <v>65</v>
      </c>
    </row>
    <row r="11" spans="2:29" x14ac:dyDescent="0.2">
      <c r="D11">
        <f>D2/D3</f>
        <v>12</v>
      </c>
      <c r="E11">
        <f t="shared" ref="E11:K11" si="0">E2/E3</f>
        <v>68.75</v>
      </c>
      <c r="F11">
        <f t="shared" si="0"/>
        <v>4.8809523809523805</v>
      </c>
      <c r="I11">
        <f t="shared" si="0"/>
        <v>11</v>
      </c>
      <c r="J11">
        <f t="shared" si="0"/>
        <v>520</v>
      </c>
      <c r="K11">
        <f t="shared" si="0"/>
        <v>576</v>
      </c>
      <c r="L11">
        <f>L2/L3</f>
        <v>10.833333333333334</v>
      </c>
      <c r="M11">
        <f>AVERAGE(D11:L11)</f>
        <v>171.92346938775509</v>
      </c>
      <c r="N11" s="64"/>
      <c r="O11" s="38" t="s">
        <v>35</v>
      </c>
      <c r="P11" s="14" t="s">
        <v>67</v>
      </c>
      <c r="Q11" s="14" t="s">
        <v>69</v>
      </c>
      <c r="R11" s="14" t="s">
        <v>62</v>
      </c>
      <c r="S11" s="14" t="s">
        <v>72</v>
      </c>
      <c r="T11" s="14" t="s">
        <v>74</v>
      </c>
      <c r="U11" s="14" t="s">
        <v>69</v>
      </c>
      <c r="V11" s="14" t="s">
        <v>69</v>
      </c>
      <c r="W11" s="14" t="s">
        <v>62</v>
      </c>
      <c r="X11" s="15" t="s">
        <v>97</v>
      </c>
      <c r="AA11" s="32">
        <v>18</v>
      </c>
      <c r="AB11" s="32">
        <v>11</v>
      </c>
      <c r="AC11" s="7">
        <v>48</v>
      </c>
    </row>
    <row r="12" spans="2:29" x14ac:dyDescent="0.2">
      <c r="D12">
        <f>D4/D5</f>
        <v>130</v>
      </c>
      <c r="E12">
        <f t="shared" ref="E12:L12" si="1">E4/E5</f>
        <v>130</v>
      </c>
      <c r="F12">
        <f t="shared" si="1"/>
        <v>10.199999999999999</v>
      </c>
      <c r="G12">
        <f t="shared" si="1"/>
        <v>26.666666666666664</v>
      </c>
      <c r="H12">
        <f t="shared" si="1"/>
        <v>184</v>
      </c>
      <c r="I12">
        <f t="shared" si="1"/>
        <v>23.75</v>
      </c>
      <c r="J12">
        <f t="shared" si="1"/>
        <v>24.444444444444446</v>
      </c>
      <c r="K12">
        <f t="shared" si="1"/>
        <v>280</v>
      </c>
      <c r="L12">
        <f t="shared" si="1"/>
        <v>52</v>
      </c>
      <c r="M12">
        <f t="shared" ref="M12:M13" si="2">AVERAGE(D12:L12)</f>
        <v>95.673456790123453</v>
      </c>
      <c r="N12" s="63" t="s">
        <v>14</v>
      </c>
      <c r="O12" s="37" t="s">
        <v>36</v>
      </c>
      <c r="P12" s="12" t="s">
        <v>77</v>
      </c>
      <c r="Q12" s="12" t="s">
        <v>79</v>
      </c>
      <c r="R12" s="12" t="s">
        <v>81</v>
      </c>
      <c r="S12" s="12" t="s">
        <v>83</v>
      </c>
      <c r="T12" s="12" t="s">
        <v>59</v>
      </c>
      <c r="U12" s="12" t="s">
        <v>86</v>
      </c>
      <c r="V12" s="12" t="s">
        <v>88</v>
      </c>
      <c r="W12" s="12" t="s">
        <v>90</v>
      </c>
      <c r="X12" s="13" t="s">
        <v>92</v>
      </c>
      <c r="AA12" s="31">
        <v>0.4</v>
      </c>
      <c r="AB12" s="31">
        <v>0.4</v>
      </c>
      <c r="AC12" s="33">
        <v>18</v>
      </c>
    </row>
    <row r="13" spans="2:29" x14ac:dyDescent="0.2">
      <c r="D13">
        <f>D6/D7</f>
        <v>29.565217391304351</v>
      </c>
      <c r="E13">
        <f t="shared" ref="E13:L13" si="3">E6/E7</f>
        <v>53.333333333333336</v>
      </c>
      <c r="F13">
        <f t="shared" si="3"/>
        <v>16.071428571428573</v>
      </c>
      <c r="G13">
        <f t="shared" si="3"/>
        <v>5.8991825613079021</v>
      </c>
      <c r="H13">
        <f t="shared" si="3"/>
        <v>33.28448275862069</v>
      </c>
      <c r="I13">
        <f t="shared" si="3"/>
        <v>77.5</v>
      </c>
      <c r="J13">
        <f t="shared" si="3"/>
        <v>95.999999999999986</v>
      </c>
      <c r="K13">
        <f t="shared" si="3"/>
        <v>150.83333333333334</v>
      </c>
      <c r="L13">
        <f t="shared" si="3"/>
        <v>113.75</v>
      </c>
      <c r="M13">
        <f t="shared" si="2"/>
        <v>64.026330883258694</v>
      </c>
      <c r="N13" s="64"/>
      <c r="O13" s="38" t="s">
        <v>35</v>
      </c>
      <c r="P13" s="14" t="s">
        <v>78</v>
      </c>
      <c r="Q13" s="14" t="s">
        <v>80</v>
      </c>
      <c r="R13" s="14" t="s">
        <v>82</v>
      </c>
      <c r="S13" s="14" t="s">
        <v>84</v>
      </c>
      <c r="T13" s="14" t="s">
        <v>85</v>
      </c>
      <c r="U13" s="14" t="s">
        <v>87</v>
      </c>
      <c r="V13" s="14" t="s">
        <v>89</v>
      </c>
      <c r="W13" s="14" t="s">
        <v>91</v>
      </c>
      <c r="X13" s="15" t="s">
        <v>93</v>
      </c>
      <c r="AA13" s="12">
        <v>26</v>
      </c>
      <c r="AB13" s="12">
        <v>1284</v>
      </c>
      <c r="AC13" s="13">
        <v>39</v>
      </c>
    </row>
    <row r="14" spans="2:29" x14ac:dyDescent="0.2">
      <c r="D14">
        <f>D8/D9</f>
        <v>136.60377358490567</v>
      </c>
      <c r="E14">
        <f t="shared" ref="E14:L14" si="4">E8/E9</f>
        <v>400</v>
      </c>
      <c r="F14">
        <f t="shared" si="4"/>
        <v>5.2727272727272725</v>
      </c>
      <c r="G14">
        <f t="shared" si="4"/>
        <v>12.073170731707318</v>
      </c>
      <c r="H14">
        <f t="shared" si="4"/>
        <v>38.238095238095241</v>
      </c>
      <c r="I14">
        <f t="shared" si="4"/>
        <v>9.0000000000000018</v>
      </c>
      <c r="J14">
        <f t="shared" si="4"/>
        <v>137.83333333333334</v>
      </c>
      <c r="K14">
        <f t="shared" si="4"/>
        <v>115.33333333333333</v>
      </c>
      <c r="L14">
        <f t="shared" si="4"/>
        <v>17.357758620689655</v>
      </c>
      <c r="M14">
        <f>AVERAGE(D14:L14)</f>
        <v>96.85691023497688</v>
      </c>
      <c r="V14" s="30"/>
      <c r="AA14" s="14">
        <v>3.8</v>
      </c>
      <c r="AB14" s="14">
        <v>3.3</v>
      </c>
      <c r="AC14" s="15">
        <v>3.5</v>
      </c>
    </row>
    <row r="15" spans="2:29" x14ac:dyDescent="0.2">
      <c r="M15">
        <f>AVERAGE(M11:M14)</f>
        <v>107.12004182402853</v>
      </c>
    </row>
    <row r="16" spans="2:29" x14ac:dyDescent="0.2">
      <c r="AA16">
        <f>AA11/AA12</f>
        <v>45</v>
      </c>
      <c r="AB16">
        <f t="shared" ref="AB16:AC16" si="5">AB11/AB12</f>
        <v>27.5</v>
      </c>
      <c r="AC16">
        <f t="shared" si="5"/>
        <v>2.6666666666666665</v>
      </c>
    </row>
    <row r="17" spans="2:29" x14ac:dyDescent="0.2">
      <c r="P17">
        <f>P2/P3</f>
        <v>4.1340206185567014</v>
      </c>
      <c r="Q17">
        <f t="shared" ref="Q17:X17" si="6">Q2/Q3</f>
        <v>10.199999999999999</v>
      </c>
      <c r="R17">
        <f t="shared" si="6"/>
        <v>2.0161290322580645</v>
      </c>
      <c r="S17">
        <f t="shared" si="6"/>
        <v>1.080536912751678</v>
      </c>
      <c r="T17">
        <f t="shared" si="6"/>
        <v>6.2753074739829708</v>
      </c>
      <c r="U17">
        <f t="shared" si="6"/>
        <v>3.05</v>
      </c>
      <c r="V17">
        <f t="shared" si="6"/>
        <v>4.5238095238095237</v>
      </c>
      <c r="W17">
        <f t="shared" si="6"/>
        <v>33.763157894736842</v>
      </c>
      <c r="X17">
        <f t="shared" si="6"/>
        <v>3.9705882352941178</v>
      </c>
      <c r="Y17">
        <f>AVERAGE(P17:X17)</f>
        <v>7.6681721879322104</v>
      </c>
      <c r="AA17">
        <f>AA13/AA14</f>
        <v>6.8421052631578947</v>
      </c>
      <c r="AB17">
        <f t="shared" ref="AB17:AC17" si="7">AB13/AB14</f>
        <v>389.09090909090912</v>
      </c>
      <c r="AC17">
        <f t="shared" si="7"/>
        <v>11.142857142857142</v>
      </c>
    </row>
    <row r="18" spans="2:29" x14ac:dyDescent="0.2">
      <c r="P18">
        <f>P4/P5</f>
        <v>3.1327433628318584</v>
      </c>
      <c r="Q18">
        <f t="shared" ref="Q18:X18" si="8">Q4/Q5</f>
        <v>3.306122448979592</v>
      </c>
      <c r="R18">
        <f t="shared" si="8"/>
        <v>3.1030927835051547</v>
      </c>
      <c r="S18">
        <f t="shared" si="8"/>
        <v>4.3125</v>
      </c>
      <c r="T18">
        <f t="shared" si="8"/>
        <v>4.463917525773196</v>
      </c>
      <c r="U18">
        <f t="shared" si="8"/>
        <v>2.7113402061855671</v>
      </c>
      <c r="V18">
        <f t="shared" si="8"/>
        <v>2.9175257731958761</v>
      </c>
      <c r="W18">
        <f t="shared" si="8"/>
        <v>3.7010309278350517</v>
      </c>
      <c r="X18">
        <f t="shared" si="8"/>
        <v>3.1212121212121211</v>
      </c>
      <c r="Y18">
        <f t="shared" ref="Y18:Y22" si="9">AVERAGE(P18:X18)</f>
        <v>3.4188316832798242</v>
      </c>
    </row>
    <row r="19" spans="2:29" x14ac:dyDescent="0.2">
      <c r="P19">
        <f>P6/P7</f>
        <v>4.7226890756302522</v>
      </c>
      <c r="Q19">
        <f t="shared" ref="Q19:X19" si="10">Q6/Q7</f>
        <v>4.6542056074766354</v>
      </c>
      <c r="R19">
        <f t="shared" si="10"/>
        <v>3.3307692307692309</v>
      </c>
      <c r="S19">
        <f t="shared" si="10"/>
        <v>1.3592954990215265</v>
      </c>
      <c r="T19">
        <f t="shared" si="10"/>
        <v>11.808510638297872</v>
      </c>
      <c r="U19">
        <f t="shared" si="10"/>
        <v>2.6111111111111112</v>
      </c>
      <c r="V19">
        <f t="shared" si="10"/>
        <v>2.7685185185185186</v>
      </c>
      <c r="W19">
        <f t="shared" si="10"/>
        <v>6.5794392523364484</v>
      </c>
      <c r="X19">
        <f t="shared" si="10"/>
        <v>4.2926829268292686</v>
      </c>
      <c r="Y19">
        <f t="shared" si="9"/>
        <v>4.6808024288878727</v>
      </c>
    </row>
    <row r="20" spans="2:29" x14ac:dyDescent="0.2">
      <c r="P20">
        <f>P8/P9</f>
        <v>15.811881188118813</v>
      </c>
      <c r="Q20">
        <f t="shared" ref="Q20:U20" si="11">Q8/Q9</f>
        <v>9.7706013363028958</v>
      </c>
      <c r="R20">
        <f t="shared" si="11"/>
        <v>2.8390243902439023</v>
      </c>
      <c r="S20">
        <f t="shared" si="11"/>
        <v>5.5617128463476071</v>
      </c>
      <c r="T20">
        <f t="shared" si="11"/>
        <v>11.631578947368421</v>
      </c>
      <c r="U20">
        <f t="shared" si="11"/>
        <v>2.6524663677130045</v>
      </c>
      <c r="V20">
        <v>45</v>
      </c>
      <c r="W20">
        <v>27.5</v>
      </c>
      <c r="X20">
        <v>2.6666666666666665</v>
      </c>
      <c r="Y20">
        <f t="shared" si="9"/>
        <v>13.714881304751257</v>
      </c>
    </row>
    <row r="21" spans="2:29" x14ac:dyDescent="0.2">
      <c r="B21" t="s">
        <v>48</v>
      </c>
      <c r="C21" t="s">
        <v>49</v>
      </c>
      <c r="D21" t="s">
        <v>50</v>
      </c>
      <c r="E21" t="s">
        <v>51</v>
      </c>
      <c r="F21" t="s">
        <v>52</v>
      </c>
      <c r="G21" t="s">
        <v>53</v>
      </c>
      <c r="H21" t="s">
        <v>54</v>
      </c>
      <c r="I21" t="s">
        <v>55</v>
      </c>
      <c r="J21" s="7" t="s">
        <v>56</v>
      </c>
      <c r="K21" t="s">
        <v>57</v>
      </c>
      <c r="L21" t="s">
        <v>58</v>
      </c>
      <c r="P21">
        <f t="shared" ref="P21:X21" si="12">P25/P26</f>
        <v>70.33898305084746</v>
      </c>
      <c r="Q21">
        <f t="shared" si="12"/>
        <v>59.230769230769226</v>
      </c>
      <c r="R21">
        <f t="shared" si="12"/>
        <v>5.7272727272727266</v>
      </c>
      <c r="S21">
        <f t="shared" si="12"/>
        <v>53.121212121212125</v>
      </c>
      <c r="T21">
        <f t="shared" si="12"/>
        <v>124.41249999999999</v>
      </c>
      <c r="U21">
        <f t="shared" si="12"/>
        <v>3.9230769230769225</v>
      </c>
      <c r="V21">
        <f t="shared" si="12"/>
        <v>17.53846153846154</v>
      </c>
      <c r="W21">
        <f t="shared" si="12"/>
        <v>238.63636363636363</v>
      </c>
      <c r="X21">
        <f t="shared" si="12"/>
        <v>3.75</v>
      </c>
      <c r="Y21">
        <f t="shared" si="9"/>
        <v>64.075404358667072</v>
      </c>
    </row>
    <row r="22" spans="2:29" x14ac:dyDescent="0.2">
      <c r="B22" s="65" t="s">
        <v>8</v>
      </c>
      <c r="C22" s="23" t="s">
        <v>36</v>
      </c>
      <c r="D22">
        <v>13180</v>
      </c>
      <c r="E22">
        <v>13433</v>
      </c>
      <c r="F22">
        <v>5837</v>
      </c>
      <c r="G22">
        <v>48009</v>
      </c>
      <c r="H22">
        <v>92266</v>
      </c>
      <c r="I22">
        <v>1922</v>
      </c>
      <c r="J22">
        <v>2798</v>
      </c>
      <c r="K22">
        <v>28214</v>
      </c>
      <c r="L22">
        <v>5278</v>
      </c>
      <c r="P22">
        <f>P27/P28</f>
        <v>3.2307692307692308</v>
      </c>
      <c r="Q22">
        <f>Q27/Q28</f>
        <v>53.70967741935484</v>
      </c>
      <c r="R22">
        <f>R27/R28</f>
        <v>5.0454545454545459</v>
      </c>
      <c r="S22">
        <f>S27/S28</f>
        <v>1.7544846992613436</v>
      </c>
      <c r="U22">
        <f>U27/U28</f>
        <v>5.862068965517242</v>
      </c>
      <c r="V22">
        <f>V27/V28</f>
        <v>6.8421052631578947</v>
      </c>
      <c r="W22">
        <f>W27/W28</f>
        <v>389.09090909090912</v>
      </c>
      <c r="X22">
        <f>X27/X28</f>
        <v>11.142857142857142</v>
      </c>
      <c r="Y22">
        <f t="shared" si="9"/>
        <v>59.584790794660172</v>
      </c>
    </row>
    <row r="23" spans="2:29" x14ac:dyDescent="0.2">
      <c r="B23" s="65"/>
      <c r="C23" s="23" t="s">
        <v>35</v>
      </c>
      <c r="D23">
        <v>117</v>
      </c>
      <c r="E23">
        <v>103</v>
      </c>
      <c r="F23">
        <v>71</v>
      </c>
      <c r="G23">
        <v>652</v>
      </c>
      <c r="H23">
        <v>517</v>
      </c>
      <c r="I23">
        <v>88</v>
      </c>
      <c r="J23">
        <v>97</v>
      </c>
      <c r="K23">
        <v>93</v>
      </c>
      <c r="L23">
        <v>125</v>
      </c>
      <c r="Y23">
        <f>AVERAGE(Y17:Y22)</f>
        <v>25.523813793029735</v>
      </c>
    </row>
    <row r="24" spans="2:29" x14ac:dyDescent="0.2">
      <c r="B24" s="7"/>
      <c r="C24" s="23"/>
      <c r="D24" s="24">
        <f>D22/D23</f>
        <v>112.64957264957265</v>
      </c>
      <c r="E24" s="24">
        <f t="shared" ref="E24:L24" si="13">E22/E23</f>
        <v>130.41747572815535</v>
      </c>
      <c r="F24" s="24">
        <f t="shared" si="13"/>
        <v>82.211267605633807</v>
      </c>
      <c r="G24" s="24">
        <f t="shared" si="13"/>
        <v>73.633435582822088</v>
      </c>
      <c r="H24" s="24">
        <f t="shared" si="13"/>
        <v>178.46421663442939</v>
      </c>
      <c r="I24" s="24">
        <f t="shared" si="13"/>
        <v>21.84090909090909</v>
      </c>
      <c r="J24" s="24">
        <f t="shared" si="13"/>
        <v>28.845360824742269</v>
      </c>
      <c r="K24" s="24">
        <f t="shared" si="13"/>
        <v>303.3763440860215</v>
      </c>
      <c r="L24" s="24">
        <f t="shared" si="13"/>
        <v>42.223999999999997</v>
      </c>
      <c r="AA24">
        <v>7.6681721879322104</v>
      </c>
    </row>
    <row r="25" spans="2:29" x14ac:dyDescent="0.2">
      <c r="B25" s="65" t="s">
        <v>18</v>
      </c>
      <c r="C25" s="23" t="s">
        <v>36</v>
      </c>
      <c r="D25">
        <v>724723</v>
      </c>
      <c r="E25">
        <v>480827</v>
      </c>
      <c r="F25">
        <v>5892</v>
      </c>
      <c r="G25">
        <v>99517</v>
      </c>
      <c r="H25">
        <v>803256</v>
      </c>
      <c r="I25">
        <v>2736</v>
      </c>
      <c r="J25">
        <v>1654016</v>
      </c>
      <c r="K25">
        <v>1384790</v>
      </c>
      <c r="L25">
        <v>4027971</v>
      </c>
      <c r="P25" s="12">
        <v>415</v>
      </c>
      <c r="Q25" s="12">
        <v>77</v>
      </c>
      <c r="R25" s="12">
        <v>6.3</v>
      </c>
      <c r="S25" s="12">
        <v>1753</v>
      </c>
      <c r="T25" s="12">
        <v>9953</v>
      </c>
      <c r="U25" s="12">
        <v>5.0999999999999996</v>
      </c>
      <c r="V25" s="12">
        <v>22.8</v>
      </c>
      <c r="W25" s="12">
        <v>2625</v>
      </c>
      <c r="X25" s="13">
        <v>45</v>
      </c>
      <c r="AA25">
        <v>3.4188316832798242</v>
      </c>
    </row>
    <row r="26" spans="2:29" x14ac:dyDescent="0.2">
      <c r="B26" s="65"/>
      <c r="C26" s="23" t="s">
        <v>35</v>
      </c>
      <c r="D26">
        <v>5370</v>
      </c>
      <c r="E26">
        <v>339</v>
      </c>
      <c r="F26">
        <v>1063</v>
      </c>
      <c r="G26">
        <v>9836</v>
      </c>
      <c r="H26">
        <v>21756</v>
      </c>
      <c r="I26">
        <v>390</v>
      </c>
      <c r="J26">
        <v>206</v>
      </c>
      <c r="K26">
        <v>1268</v>
      </c>
      <c r="L26">
        <v>232698</v>
      </c>
      <c r="P26" s="14">
        <v>5.9</v>
      </c>
      <c r="Q26" s="14">
        <v>1.3</v>
      </c>
      <c r="R26" s="14">
        <v>1.1000000000000001</v>
      </c>
      <c r="S26" s="14">
        <v>33</v>
      </c>
      <c r="T26" s="14">
        <v>80</v>
      </c>
      <c r="U26" s="14">
        <v>1.3</v>
      </c>
      <c r="V26" s="14">
        <v>1.3</v>
      </c>
      <c r="W26" s="14">
        <v>11</v>
      </c>
      <c r="X26" s="15">
        <v>12</v>
      </c>
      <c r="AA26">
        <v>4.6808024288878727</v>
      </c>
    </row>
    <row r="27" spans="2:29" x14ac:dyDescent="0.2">
      <c r="B27" s="7"/>
      <c r="C27" s="23"/>
      <c r="D27" s="24">
        <f>D25/D26</f>
        <v>134.95772811918064</v>
      </c>
      <c r="E27" s="24">
        <f t="shared" ref="E27:L27" si="14">E25/E26</f>
        <v>1418.3687315634218</v>
      </c>
      <c r="F27" s="24">
        <f t="shared" si="14"/>
        <v>5.5428033866415802</v>
      </c>
      <c r="G27" s="24">
        <f t="shared" si="14"/>
        <v>10.11762911752745</v>
      </c>
      <c r="H27" s="24">
        <f t="shared" si="14"/>
        <v>36.921125206839491</v>
      </c>
      <c r="I27" s="24">
        <f t="shared" si="14"/>
        <v>7.0153846153846153</v>
      </c>
      <c r="J27" s="24">
        <f t="shared" si="14"/>
        <v>8029.2038834951454</v>
      </c>
      <c r="K27" s="24">
        <f t="shared" si="14"/>
        <v>1092.1056782334385</v>
      </c>
      <c r="L27" s="24">
        <f t="shared" si="14"/>
        <v>17.309865147100535</v>
      </c>
      <c r="P27" s="12">
        <v>252</v>
      </c>
      <c r="Q27" s="12">
        <v>333</v>
      </c>
      <c r="R27" s="12">
        <v>111</v>
      </c>
      <c r="S27" s="12">
        <v>4988</v>
      </c>
      <c r="T27" s="12" t="s">
        <v>59</v>
      </c>
      <c r="U27" s="12">
        <v>17</v>
      </c>
      <c r="V27" s="12">
        <v>26</v>
      </c>
      <c r="W27" s="12">
        <v>1284</v>
      </c>
      <c r="X27" s="13">
        <v>39</v>
      </c>
      <c r="AA27">
        <v>13.714881304751257</v>
      </c>
    </row>
    <row r="28" spans="2:29" x14ac:dyDescent="0.2">
      <c r="B28" s="65" t="s">
        <v>4</v>
      </c>
      <c r="C28" s="23" t="s">
        <v>36</v>
      </c>
      <c r="D28">
        <v>68990</v>
      </c>
      <c r="E28">
        <v>64148</v>
      </c>
      <c r="F28">
        <v>45638</v>
      </c>
      <c r="G28">
        <v>2165746</v>
      </c>
      <c r="H28">
        <v>3861481</v>
      </c>
      <c r="I28">
        <v>3492</v>
      </c>
      <c r="J28">
        <v>4803</v>
      </c>
      <c r="K28">
        <v>181806</v>
      </c>
      <c r="L28">
        <v>9157</v>
      </c>
      <c r="P28" s="14">
        <v>78</v>
      </c>
      <c r="Q28" s="14">
        <v>6.2</v>
      </c>
      <c r="R28" s="14">
        <v>22</v>
      </c>
      <c r="S28" s="14">
        <v>2843</v>
      </c>
      <c r="T28" s="14">
        <v>2825</v>
      </c>
      <c r="U28" s="14">
        <v>2.9</v>
      </c>
      <c r="V28" s="14">
        <v>3.8</v>
      </c>
      <c r="W28" s="14">
        <v>3.3</v>
      </c>
      <c r="X28" s="15">
        <v>3.5</v>
      </c>
    </row>
    <row r="29" spans="2:29" x14ac:dyDescent="0.2">
      <c r="B29" s="65"/>
      <c r="C29" s="23" t="s">
        <v>35</v>
      </c>
      <c r="D29">
        <v>2391</v>
      </c>
      <c r="E29">
        <v>192</v>
      </c>
      <c r="F29">
        <v>2845</v>
      </c>
      <c r="G29">
        <v>367714</v>
      </c>
      <c r="H29">
        <v>116966</v>
      </c>
      <c r="I29">
        <v>48</v>
      </c>
      <c r="J29">
        <v>55</v>
      </c>
      <c r="K29">
        <v>43</v>
      </c>
      <c r="L29">
        <v>80</v>
      </c>
    </row>
    <row r="30" spans="2:29" x14ac:dyDescent="0.2">
      <c r="B30" s="7"/>
      <c r="C30" s="23"/>
      <c r="D30" s="24">
        <f>D28/D29</f>
        <v>28.854035968214138</v>
      </c>
      <c r="E30" s="24">
        <f t="shared" ref="E30:L30" si="15">E28/E29</f>
        <v>334.10416666666669</v>
      </c>
      <c r="F30" s="24">
        <f t="shared" si="15"/>
        <v>16.041476274165202</v>
      </c>
      <c r="G30" s="24">
        <f t="shared" si="15"/>
        <v>5.8897567130976789</v>
      </c>
      <c r="H30" s="24">
        <f t="shared" si="15"/>
        <v>33.013704837303145</v>
      </c>
      <c r="I30" s="24">
        <f t="shared" si="15"/>
        <v>72.75</v>
      </c>
      <c r="J30" s="24">
        <f t="shared" si="15"/>
        <v>87.327272727272728</v>
      </c>
      <c r="K30" s="24">
        <f t="shared" si="15"/>
        <v>4228.0465116279074</v>
      </c>
      <c r="L30" s="24">
        <f t="shared" si="15"/>
        <v>114.46250000000001</v>
      </c>
    </row>
    <row r="31" spans="2:29" x14ac:dyDescent="0.2">
      <c r="B31" s="65" t="s">
        <v>17</v>
      </c>
      <c r="C31" s="23" t="s">
        <v>36</v>
      </c>
      <c r="D31">
        <v>192557</v>
      </c>
      <c r="E31">
        <v>110889</v>
      </c>
      <c r="F31">
        <v>41441</v>
      </c>
      <c r="G31" s="7" t="s">
        <v>59</v>
      </c>
      <c r="H31" t="s">
        <v>59</v>
      </c>
      <c r="I31">
        <v>1195</v>
      </c>
      <c r="J31">
        <v>5527</v>
      </c>
      <c r="K31">
        <v>864124</v>
      </c>
      <c r="L31">
        <v>13130</v>
      </c>
    </row>
    <row r="32" spans="2:29" x14ac:dyDescent="0.2">
      <c r="B32" s="65"/>
      <c r="C32" s="23" t="s">
        <v>35</v>
      </c>
      <c r="D32">
        <v>16718</v>
      </c>
      <c r="E32">
        <v>1693</v>
      </c>
      <c r="F32">
        <v>8419</v>
      </c>
      <c r="G32">
        <v>1237037</v>
      </c>
      <c r="H32">
        <v>1662820</v>
      </c>
      <c r="I32">
        <v>107</v>
      </c>
      <c r="J32">
        <v>10</v>
      </c>
      <c r="K32">
        <v>543</v>
      </c>
      <c r="L32">
        <v>1236</v>
      </c>
    </row>
    <row r="33" spans="2:24" x14ac:dyDescent="0.2">
      <c r="D33" s="24">
        <f>D31/D32</f>
        <v>11.517944730230889</v>
      </c>
      <c r="E33" s="24">
        <f t="shared" ref="E33:L33" si="16">E31/E32</f>
        <v>65.498523331364439</v>
      </c>
      <c r="F33" s="24">
        <f t="shared" si="16"/>
        <v>4.9223185651502552</v>
      </c>
      <c r="G33" s="24" t="e">
        <f t="shared" si="16"/>
        <v>#VALUE!</v>
      </c>
      <c r="H33" s="24" t="e">
        <f t="shared" si="16"/>
        <v>#VALUE!</v>
      </c>
      <c r="I33" s="24">
        <f t="shared" si="16"/>
        <v>11.16822429906542</v>
      </c>
      <c r="J33" s="24">
        <f t="shared" si="16"/>
        <v>552.70000000000005</v>
      </c>
      <c r="K33" s="24">
        <f t="shared" si="16"/>
        <v>1591.3885819521179</v>
      </c>
      <c r="L33" s="24">
        <f t="shared" si="16"/>
        <v>10.622977346278317</v>
      </c>
    </row>
    <row r="34" spans="2:24" x14ac:dyDescent="0.2">
      <c r="B34" s="25"/>
      <c r="C34" s="25"/>
      <c r="D34" s="25"/>
      <c r="E34" s="25"/>
      <c r="F34" s="25"/>
      <c r="G34" s="25"/>
      <c r="H34" s="25"/>
      <c r="I34" s="25"/>
      <c r="J34" s="26"/>
      <c r="K34" s="25"/>
      <c r="L34" s="25"/>
    </row>
    <row r="35" spans="2:24" x14ac:dyDescent="0.2">
      <c r="B35" t="s">
        <v>60</v>
      </c>
      <c r="C35" t="s">
        <v>49</v>
      </c>
      <c r="D35" t="s">
        <v>50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s="7" t="s">
        <v>56</v>
      </c>
      <c r="K35" t="s">
        <v>57</v>
      </c>
      <c r="L35" t="s">
        <v>58</v>
      </c>
    </row>
    <row r="36" spans="2:24" x14ac:dyDescent="0.2">
      <c r="B36" s="65" t="s">
        <v>8</v>
      </c>
      <c r="C36" s="23" t="s">
        <v>36</v>
      </c>
      <c r="D36">
        <v>354</v>
      </c>
      <c r="E36">
        <v>324</v>
      </c>
      <c r="F36">
        <v>301</v>
      </c>
      <c r="G36">
        <v>414</v>
      </c>
      <c r="H36">
        <v>433</v>
      </c>
      <c r="I36">
        <v>263</v>
      </c>
      <c r="J36">
        <v>283</v>
      </c>
      <c r="K36">
        <v>359</v>
      </c>
      <c r="L36">
        <v>309</v>
      </c>
    </row>
    <row r="37" spans="2:24" x14ac:dyDescent="0.2">
      <c r="B37" s="65"/>
      <c r="C37" s="23" t="s">
        <v>35</v>
      </c>
      <c r="D37">
        <v>113</v>
      </c>
      <c r="E37">
        <v>98</v>
      </c>
      <c r="F37">
        <v>97</v>
      </c>
      <c r="G37">
        <v>96</v>
      </c>
      <c r="H37">
        <v>97</v>
      </c>
      <c r="I37">
        <v>97</v>
      </c>
      <c r="J37">
        <v>97</v>
      </c>
      <c r="K37">
        <v>97</v>
      </c>
      <c r="L37">
        <v>99</v>
      </c>
    </row>
    <row r="38" spans="2:24" x14ac:dyDescent="0.2">
      <c r="B38" s="7"/>
      <c r="C38" s="23"/>
      <c r="D38" s="24">
        <f>D36/D37</f>
        <v>3.1327433628318584</v>
      </c>
      <c r="E38" s="24">
        <f t="shared" ref="E38:L38" si="17">E36/E37</f>
        <v>3.306122448979592</v>
      </c>
      <c r="F38" s="24">
        <f t="shared" si="17"/>
        <v>3.1030927835051547</v>
      </c>
      <c r="G38" s="24">
        <f t="shared" si="17"/>
        <v>4.3125</v>
      </c>
      <c r="H38" s="24">
        <f t="shared" si="17"/>
        <v>4.463917525773196</v>
      </c>
      <c r="I38" s="24">
        <f t="shared" si="17"/>
        <v>2.7113402061855671</v>
      </c>
      <c r="J38" s="24">
        <f t="shared" si="17"/>
        <v>2.9175257731958761</v>
      </c>
      <c r="K38" s="24">
        <f t="shared" si="17"/>
        <v>3.7010309278350517</v>
      </c>
      <c r="L38" s="24">
        <f t="shared" si="17"/>
        <v>3.1212121212121211</v>
      </c>
    </row>
    <row r="39" spans="2:24" x14ac:dyDescent="0.2">
      <c r="B39" s="65" t="s">
        <v>18</v>
      </c>
      <c r="C39" s="23" t="s">
        <v>36</v>
      </c>
      <c r="D39">
        <v>6388</v>
      </c>
      <c r="E39">
        <v>4387</v>
      </c>
      <c r="F39">
        <v>1164</v>
      </c>
      <c r="G39">
        <v>2208</v>
      </c>
      <c r="H39">
        <v>5083</v>
      </c>
      <c r="I39">
        <v>1183</v>
      </c>
      <c r="J39">
        <v>18491</v>
      </c>
      <c r="K39">
        <v>11774</v>
      </c>
      <c r="L39">
        <v>40242</v>
      </c>
    </row>
    <row r="40" spans="2:24" x14ac:dyDescent="0.2">
      <c r="B40" s="65"/>
      <c r="C40" s="23" t="s">
        <v>35</v>
      </c>
      <c r="D40">
        <v>404</v>
      </c>
      <c r="E40">
        <v>449</v>
      </c>
      <c r="F40">
        <v>410</v>
      </c>
      <c r="G40">
        <v>397</v>
      </c>
      <c r="H40">
        <v>437</v>
      </c>
      <c r="I40">
        <v>446</v>
      </c>
      <c r="J40">
        <v>454</v>
      </c>
      <c r="K40">
        <v>430</v>
      </c>
      <c r="L40">
        <v>90082</v>
      </c>
    </row>
    <row r="41" spans="2:24" x14ac:dyDescent="0.2">
      <c r="B41" s="7"/>
      <c r="C41" s="23"/>
      <c r="D41" s="24">
        <f>D39/D40</f>
        <v>15.811881188118813</v>
      </c>
      <c r="E41" s="24">
        <f t="shared" ref="E41:L41" si="18">E39/E40</f>
        <v>9.7706013363028958</v>
      </c>
      <c r="F41" s="24">
        <f t="shared" si="18"/>
        <v>2.8390243902439023</v>
      </c>
      <c r="G41" s="24">
        <f t="shared" si="18"/>
        <v>5.5617128463476071</v>
      </c>
      <c r="H41" s="24">
        <f t="shared" si="18"/>
        <v>11.631578947368421</v>
      </c>
      <c r="I41" s="24">
        <f t="shared" si="18"/>
        <v>2.6524663677130045</v>
      </c>
      <c r="J41" s="24">
        <f t="shared" si="18"/>
        <v>40.729074889867839</v>
      </c>
      <c r="K41" s="24">
        <f t="shared" si="18"/>
        <v>27.381395348837209</v>
      </c>
      <c r="L41" s="24">
        <f t="shared" si="18"/>
        <v>0.44672631602317886</v>
      </c>
      <c r="N41" s="65" t="s">
        <v>17</v>
      </c>
      <c r="O41" s="23" t="s">
        <v>36</v>
      </c>
      <c r="P41">
        <v>401</v>
      </c>
      <c r="Q41">
        <v>306</v>
      </c>
      <c r="R41">
        <v>125</v>
      </c>
      <c r="S41">
        <v>1932</v>
      </c>
      <c r="T41">
        <v>6633</v>
      </c>
      <c r="U41">
        <v>61</v>
      </c>
      <c r="V41">
        <v>95</v>
      </c>
      <c r="W41">
        <v>1283</v>
      </c>
      <c r="X41">
        <v>135</v>
      </c>
    </row>
    <row r="42" spans="2:24" x14ac:dyDescent="0.2">
      <c r="B42" s="65" t="s">
        <v>4</v>
      </c>
      <c r="C42" s="23" t="s">
        <v>36</v>
      </c>
      <c r="D42">
        <v>562</v>
      </c>
      <c r="E42">
        <v>498</v>
      </c>
      <c r="F42">
        <v>433</v>
      </c>
      <c r="G42">
        <v>2473</v>
      </c>
      <c r="H42">
        <v>3885</v>
      </c>
      <c r="I42">
        <v>282</v>
      </c>
      <c r="J42">
        <v>299</v>
      </c>
      <c r="K42">
        <v>704</v>
      </c>
      <c r="L42">
        <v>352</v>
      </c>
      <c r="N42" s="65"/>
      <c r="O42" s="23" t="s">
        <v>35</v>
      </c>
      <c r="P42">
        <v>97</v>
      </c>
      <c r="Q42">
        <v>30</v>
      </c>
      <c r="R42">
        <v>122</v>
      </c>
      <c r="S42">
        <v>1788</v>
      </c>
      <c r="T42">
        <v>1057</v>
      </c>
      <c r="U42">
        <v>20</v>
      </c>
      <c r="V42">
        <v>21</v>
      </c>
      <c r="W42">
        <v>38</v>
      </c>
      <c r="X42">
        <v>484</v>
      </c>
    </row>
    <row r="43" spans="2:24" x14ac:dyDescent="0.2">
      <c r="B43" s="65"/>
      <c r="C43" s="23" t="s">
        <v>35</v>
      </c>
      <c r="D43">
        <v>119</v>
      </c>
      <c r="E43">
        <v>107</v>
      </c>
      <c r="F43">
        <v>130</v>
      </c>
      <c r="G43">
        <v>2555</v>
      </c>
      <c r="H43">
        <v>329</v>
      </c>
      <c r="I43">
        <v>108</v>
      </c>
      <c r="J43">
        <v>108</v>
      </c>
      <c r="K43">
        <v>107</v>
      </c>
      <c r="L43">
        <v>82</v>
      </c>
      <c r="N43" s="65" t="s">
        <v>8</v>
      </c>
      <c r="O43" s="23" t="s">
        <v>36</v>
      </c>
      <c r="P43">
        <v>354</v>
      </c>
      <c r="Q43">
        <v>324</v>
      </c>
      <c r="R43">
        <v>301</v>
      </c>
      <c r="S43">
        <v>414</v>
      </c>
      <c r="T43">
        <v>433</v>
      </c>
      <c r="U43">
        <v>263</v>
      </c>
      <c r="V43">
        <v>283</v>
      </c>
      <c r="W43">
        <v>359</v>
      </c>
      <c r="X43">
        <v>309</v>
      </c>
    </row>
    <row r="44" spans="2:24" x14ac:dyDescent="0.2">
      <c r="B44" s="7"/>
      <c r="C44" s="23"/>
      <c r="D44" s="24">
        <f>D42/D43</f>
        <v>4.7226890756302522</v>
      </c>
      <c r="E44" s="24">
        <f t="shared" ref="E44:L44" si="19">E42/E43</f>
        <v>4.6542056074766354</v>
      </c>
      <c r="F44" s="24">
        <f t="shared" si="19"/>
        <v>3.3307692307692309</v>
      </c>
      <c r="G44" s="24">
        <f t="shared" si="19"/>
        <v>0.96790606653620348</v>
      </c>
      <c r="H44" s="24">
        <f t="shared" si="19"/>
        <v>11.808510638297872</v>
      </c>
      <c r="I44" s="24">
        <f t="shared" si="19"/>
        <v>2.6111111111111112</v>
      </c>
      <c r="J44" s="24">
        <f t="shared" si="19"/>
        <v>2.7685185185185186</v>
      </c>
      <c r="K44" s="24">
        <f t="shared" si="19"/>
        <v>6.5794392523364484</v>
      </c>
      <c r="L44" s="24">
        <f t="shared" si="19"/>
        <v>4.2926829268292686</v>
      </c>
      <c r="N44" s="65"/>
      <c r="O44" s="23" t="s">
        <v>35</v>
      </c>
      <c r="P44">
        <v>113</v>
      </c>
      <c r="Q44">
        <v>98</v>
      </c>
      <c r="R44">
        <v>97</v>
      </c>
      <c r="S44">
        <v>96</v>
      </c>
      <c r="T44">
        <v>97</v>
      </c>
      <c r="U44">
        <v>97</v>
      </c>
      <c r="V44">
        <v>97</v>
      </c>
      <c r="W44">
        <v>97</v>
      </c>
      <c r="X44">
        <v>99</v>
      </c>
    </row>
    <row r="45" spans="2:24" x14ac:dyDescent="0.2">
      <c r="B45" s="65" t="s">
        <v>17</v>
      </c>
      <c r="C45" s="23" t="s">
        <v>36</v>
      </c>
      <c r="D45">
        <v>401</v>
      </c>
      <c r="E45">
        <v>306</v>
      </c>
      <c r="F45">
        <v>125</v>
      </c>
      <c r="G45">
        <v>1932</v>
      </c>
      <c r="H45">
        <v>6633</v>
      </c>
      <c r="I45">
        <v>61</v>
      </c>
      <c r="J45">
        <v>95</v>
      </c>
      <c r="K45">
        <v>1283</v>
      </c>
      <c r="L45">
        <v>135</v>
      </c>
      <c r="N45" s="65" t="s">
        <v>4</v>
      </c>
      <c r="O45" s="23" t="s">
        <v>36</v>
      </c>
      <c r="P45">
        <v>562</v>
      </c>
      <c r="Q45">
        <v>498</v>
      </c>
      <c r="R45">
        <v>433</v>
      </c>
      <c r="S45">
        <v>2473</v>
      </c>
      <c r="T45">
        <v>3885</v>
      </c>
      <c r="U45">
        <v>282</v>
      </c>
      <c r="V45">
        <v>299</v>
      </c>
      <c r="W45">
        <v>704</v>
      </c>
      <c r="X45">
        <v>352</v>
      </c>
    </row>
    <row r="46" spans="2:24" x14ac:dyDescent="0.2">
      <c r="B46" s="65"/>
      <c r="C46" s="23" t="s">
        <v>35</v>
      </c>
      <c r="D46">
        <v>97</v>
      </c>
      <c r="E46">
        <v>30</v>
      </c>
      <c r="F46">
        <v>122</v>
      </c>
      <c r="G46">
        <v>1788</v>
      </c>
      <c r="H46">
        <v>1057</v>
      </c>
      <c r="I46">
        <v>20</v>
      </c>
      <c r="J46">
        <v>21</v>
      </c>
      <c r="K46">
        <v>38</v>
      </c>
      <c r="L46">
        <v>484</v>
      </c>
      <c r="N46" s="65"/>
      <c r="O46" s="23" t="s">
        <v>35</v>
      </c>
      <c r="P46">
        <v>119</v>
      </c>
      <c r="Q46">
        <v>107</v>
      </c>
      <c r="R46">
        <v>130</v>
      </c>
      <c r="S46">
        <v>2555</v>
      </c>
      <c r="T46">
        <v>329</v>
      </c>
      <c r="U46">
        <v>108</v>
      </c>
      <c r="V46">
        <v>108</v>
      </c>
      <c r="W46">
        <v>107</v>
      </c>
      <c r="X46">
        <v>82</v>
      </c>
    </row>
    <row r="47" spans="2:24" x14ac:dyDescent="0.2">
      <c r="B47" s="7"/>
      <c r="C47" s="23"/>
      <c r="D47" s="24">
        <f>D45/D46</f>
        <v>4.1340206185567014</v>
      </c>
      <c r="E47" s="24">
        <f t="shared" ref="E47:L47" si="20">E45/E46</f>
        <v>10.199999999999999</v>
      </c>
      <c r="F47" s="24">
        <f t="shared" si="20"/>
        <v>1.0245901639344261</v>
      </c>
      <c r="G47" s="24">
        <f t="shared" si="20"/>
        <v>1.080536912751678</v>
      </c>
      <c r="H47" s="24">
        <f t="shared" si="20"/>
        <v>6.2753074739829708</v>
      </c>
      <c r="I47" s="24">
        <f t="shared" si="20"/>
        <v>3.05</v>
      </c>
      <c r="J47" s="24">
        <f t="shared" si="20"/>
        <v>4.5238095238095237</v>
      </c>
      <c r="K47" s="24">
        <f t="shared" si="20"/>
        <v>33.763157894736842</v>
      </c>
      <c r="L47" s="24">
        <f t="shared" si="20"/>
        <v>0.27892561983471076</v>
      </c>
      <c r="N47" s="65" t="s">
        <v>18</v>
      </c>
      <c r="O47" s="23" t="s">
        <v>36</v>
      </c>
      <c r="P47">
        <v>6388</v>
      </c>
      <c r="Q47">
        <v>4387</v>
      </c>
      <c r="R47">
        <v>1164</v>
      </c>
      <c r="S47">
        <v>2208</v>
      </c>
      <c r="T47">
        <v>5083</v>
      </c>
      <c r="U47">
        <v>1183</v>
      </c>
      <c r="V47">
        <v>18491</v>
      </c>
      <c r="W47">
        <v>11774</v>
      </c>
      <c r="X47">
        <v>40242</v>
      </c>
    </row>
    <row r="48" spans="2:24" x14ac:dyDescent="0.2">
      <c r="B48" s="65" t="s">
        <v>61</v>
      </c>
      <c r="C48" s="23" t="s">
        <v>36</v>
      </c>
      <c r="D48">
        <v>252702</v>
      </c>
      <c r="E48">
        <v>333309</v>
      </c>
      <c r="F48">
        <v>111682</v>
      </c>
      <c r="G48">
        <v>4988212</v>
      </c>
      <c r="N48" s="65"/>
      <c r="O48" s="23" t="s">
        <v>35</v>
      </c>
      <c r="P48">
        <v>404</v>
      </c>
      <c r="Q48">
        <v>449</v>
      </c>
      <c r="R48">
        <v>410</v>
      </c>
      <c r="S48">
        <v>397</v>
      </c>
      <c r="T48">
        <v>437</v>
      </c>
      <c r="U48">
        <v>446</v>
      </c>
      <c r="V48">
        <v>454</v>
      </c>
      <c r="W48">
        <v>430</v>
      </c>
      <c r="X48">
        <v>90082</v>
      </c>
    </row>
    <row r="49" spans="2:24" x14ac:dyDescent="0.2">
      <c r="B49" s="65"/>
      <c r="C49" s="23" t="s">
        <v>35</v>
      </c>
      <c r="D49">
        <v>78487</v>
      </c>
      <c r="E49">
        <v>6654</v>
      </c>
      <c r="F49">
        <v>22871</v>
      </c>
      <c r="G49">
        <v>2843165</v>
      </c>
      <c r="H49">
        <v>2825057</v>
      </c>
      <c r="I49">
        <v>2940</v>
      </c>
      <c r="J49">
        <v>3912</v>
      </c>
      <c r="K49">
        <v>3375</v>
      </c>
      <c r="L49">
        <v>93516</v>
      </c>
      <c r="N49" s="65" t="s">
        <v>19</v>
      </c>
      <c r="O49" s="23" t="s">
        <v>36</v>
      </c>
      <c r="P49">
        <v>415812</v>
      </c>
      <c r="Q49">
        <v>77100</v>
      </c>
      <c r="R49">
        <v>6337</v>
      </c>
      <c r="S49">
        <v>1753751</v>
      </c>
      <c r="T49">
        <v>9953317</v>
      </c>
      <c r="U49">
        <v>5147</v>
      </c>
      <c r="V49">
        <v>22859</v>
      </c>
      <c r="W49">
        <v>2625729</v>
      </c>
      <c r="X49">
        <v>45200</v>
      </c>
    </row>
    <row r="50" spans="2:24" x14ac:dyDescent="0.2">
      <c r="B50" s="7"/>
      <c r="C50" s="23"/>
      <c r="D50" s="24">
        <f>D48/D49</f>
        <v>3.219666951214851</v>
      </c>
      <c r="E50" s="24">
        <f t="shared" ref="E50:G50" si="21">E48/E49</f>
        <v>50.091523895401259</v>
      </c>
      <c r="F50" s="24">
        <f t="shared" si="21"/>
        <v>4.8831271041930826</v>
      </c>
      <c r="G50" s="24">
        <f t="shared" si="21"/>
        <v>1.7544574444325249</v>
      </c>
      <c r="N50" s="65"/>
      <c r="O50" s="23" t="s">
        <v>35</v>
      </c>
      <c r="P50">
        <v>5921</v>
      </c>
      <c r="Q50">
        <v>1318</v>
      </c>
      <c r="R50">
        <v>1199</v>
      </c>
      <c r="S50">
        <v>33733</v>
      </c>
      <c r="T50">
        <v>80877</v>
      </c>
      <c r="U50">
        <v>1303</v>
      </c>
      <c r="V50">
        <v>1397</v>
      </c>
      <c r="W50">
        <v>1029</v>
      </c>
      <c r="X50">
        <v>118724</v>
      </c>
    </row>
    <row r="51" spans="2:24" x14ac:dyDescent="0.2">
      <c r="B51" s="65" t="s">
        <v>19</v>
      </c>
      <c r="C51" s="23" t="s">
        <v>36</v>
      </c>
      <c r="N51" s="65" t="s">
        <v>61</v>
      </c>
      <c r="O51" s="23" t="s">
        <v>36</v>
      </c>
      <c r="P51">
        <v>252702</v>
      </c>
      <c r="Q51">
        <v>333309</v>
      </c>
      <c r="R51">
        <v>111682</v>
      </c>
      <c r="S51">
        <v>4988212</v>
      </c>
      <c r="T51">
        <v>23485126</v>
      </c>
      <c r="U51">
        <v>17665</v>
      </c>
      <c r="V51">
        <v>26089</v>
      </c>
      <c r="W51">
        <v>1284512</v>
      </c>
      <c r="X51">
        <v>39910</v>
      </c>
    </row>
    <row r="52" spans="2:24" x14ac:dyDescent="0.2">
      <c r="B52" s="65"/>
      <c r="C52" s="23" t="s">
        <v>35</v>
      </c>
      <c r="D52">
        <v>5921</v>
      </c>
      <c r="E52">
        <v>1318</v>
      </c>
      <c r="F52">
        <v>1199</v>
      </c>
      <c r="G52">
        <v>33733</v>
      </c>
      <c r="H52">
        <v>80877</v>
      </c>
      <c r="I52">
        <v>1303</v>
      </c>
      <c r="J52">
        <v>1397</v>
      </c>
      <c r="K52">
        <v>1029</v>
      </c>
      <c r="L52">
        <v>118724</v>
      </c>
      <c r="N52" s="65"/>
      <c r="O52" s="23" t="s">
        <v>35</v>
      </c>
      <c r="P52">
        <v>78487</v>
      </c>
      <c r="Q52">
        <v>6654</v>
      </c>
      <c r="R52">
        <v>22871</v>
      </c>
      <c r="S52">
        <v>2843165</v>
      </c>
      <c r="T52">
        <v>2825057</v>
      </c>
      <c r="U52">
        <v>2940</v>
      </c>
      <c r="V52">
        <v>3912</v>
      </c>
      <c r="W52">
        <v>3375</v>
      </c>
      <c r="X52">
        <v>3516</v>
      </c>
    </row>
    <row r="55" spans="2:24" x14ac:dyDescent="0.2">
      <c r="P55">
        <f>P49/1000</f>
        <v>415.81200000000001</v>
      </c>
      <c r="Q55">
        <f t="shared" ref="Q55:X55" si="22">Q49/1000</f>
        <v>77.099999999999994</v>
      </c>
      <c r="R55">
        <f t="shared" si="22"/>
        <v>6.3369999999999997</v>
      </c>
      <c r="S55">
        <f t="shared" si="22"/>
        <v>1753.751</v>
      </c>
      <c r="T55">
        <f t="shared" si="22"/>
        <v>9953.3169999999991</v>
      </c>
      <c r="U55">
        <f t="shared" si="22"/>
        <v>5.1470000000000002</v>
      </c>
      <c r="V55">
        <f t="shared" si="22"/>
        <v>22.859000000000002</v>
      </c>
      <c r="W55">
        <f t="shared" si="22"/>
        <v>2625.7289999999998</v>
      </c>
      <c r="X55">
        <f t="shared" si="22"/>
        <v>45.2</v>
      </c>
    </row>
    <row r="56" spans="2:24" x14ac:dyDescent="0.2">
      <c r="P56">
        <f t="shared" ref="P56:X56" si="23">P50/1000</f>
        <v>5.9210000000000003</v>
      </c>
      <c r="Q56">
        <f t="shared" si="23"/>
        <v>1.3180000000000001</v>
      </c>
      <c r="R56">
        <f t="shared" si="23"/>
        <v>1.1990000000000001</v>
      </c>
      <c r="S56">
        <f t="shared" si="23"/>
        <v>33.732999999999997</v>
      </c>
      <c r="T56">
        <f t="shared" si="23"/>
        <v>80.876999999999995</v>
      </c>
      <c r="U56">
        <f t="shared" si="23"/>
        <v>1.3029999999999999</v>
      </c>
      <c r="V56">
        <f t="shared" si="23"/>
        <v>1.397</v>
      </c>
      <c r="W56">
        <f t="shared" si="23"/>
        <v>1.0289999999999999</v>
      </c>
      <c r="X56">
        <f t="shared" si="23"/>
        <v>118.724</v>
      </c>
    </row>
    <row r="57" spans="2:24" x14ac:dyDescent="0.2">
      <c r="P57">
        <f t="shared" ref="P57:X57" si="24">P51/1000</f>
        <v>252.702</v>
      </c>
      <c r="Q57">
        <f t="shared" si="24"/>
        <v>333.30900000000003</v>
      </c>
      <c r="R57">
        <f t="shared" si="24"/>
        <v>111.682</v>
      </c>
      <c r="S57">
        <f t="shared" si="24"/>
        <v>4988.2120000000004</v>
      </c>
      <c r="T57">
        <f t="shared" si="24"/>
        <v>23485.126</v>
      </c>
      <c r="U57">
        <f t="shared" si="24"/>
        <v>17.664999999999999</v>
      </c>
      <c r="V57">
        <f t="shared" si="24"/>
        <v>26.088999999999999</v>
      </c>
      <c r="W57">
        <f t="shared" si="24"/>
        <v>1284.5119999999999</v>
      </c>
      <c r="X57">
        <f t="shared" si="24"/>
        <v>39.909999999999997</v>
      </c>
    </row>
    <row r="58" spans="2:24" x14ac:dyDescent="0.2">
      <c r="P58">
        <f t="shared" ref="P58:X58" si="25">P52/1000</f>
        <v>78.486999999999995</v>
      </c>
      <c r="Q58">
        <f t="shared" si="25"/>
        <v>6.6539999999999999</v>
      </c>
      <c r="R58">
        <f t="shared" si="25"/>
        <v>22.870999999999999</v>
      </c>
      <c r="S58">
        <f t="shared" si="25"/>
        <v>2843.165</v>
      </c>
      <c r="T58">
        <f t="shared" si="25"/>
        <v>2825.0569999999998</v>
      </c>
      <c r="U58">
        <f t="shared" si="25"/>
        <v>2.94</v>
      </c>
      <c r="V58">
        <f t="shared" si="25"/>
        <v>3.9119999999999999</v>
      </c>
      <c r="W58">
        <f t="shared" si="25"/>
        <v>3.375</v>
      </c>
      <c r="X58">
        <f t="shared" si="25"/>
        <v>3.516</v>
      </c>
    </row>
  </sheetData>
  <mergeCells count="26">
    <mergeCell ref="N41:N42"/>
    <mergeCell ref="N51:N52"/>
    <mergeCell ref="N49:N50"/>
    <mergeCell ref="B28:B29"/>
    <mergeCell ref="B31:B32"/>
    <mergeCell ref="B36:B37"/>
    <mergeCell ref="B39:B40"/>
    <mergeCell ref="B42:B43"/>
    <mergeCell ref="B45:B46"/>
    <mergeCell ref="B48:B49"/>
    <mergeCell ref="B51:B52"/>
    <mergeCell ref="N43:N44"/>
    <mergeCell ref="N47:N48"/>
    <mergeCell ref="N45:N46"/>
    <mergeCell ref="N2:N3"/>
    <mergeCell ref="N4:N5"/>
    <mergeCell ref="B25:B26"/>
    <mergeCell ref="B2:B3"/>
    <mergeCell ref="B4:B5"/>
    <mergeCell ref="B6:B7"/>
    <mergeCell ref="B8:B9"/>
    <mergeCell ref="N6:N7"/>
    <mergeCell ref="N8:N9"/>
    <mergeCell ref="N10:N11"/>
    <mergeCell ref="N12:N13"/>
    <mergeCell ref="B22:B2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A279-1FE3-894D-A166-5CEB672332DE}">
  <dimension ref="A1:O11"/>
  <sheetViews>
    <sheetView zoomScale="90" workbookViewId="0">
      <selection activeCell="B13" sqref="B13"/>
    </sheetView>
  </sheetViews>
  <sheetFormatPr baseColWidth="10" defaultColWidth="11" defaultRowHeight="16" x14ac:dyDescent="0.2"/>
  <cols>
    <col min="1" max="1" width="13.33203125" customWidth="1"/>
    <col min="2" max="2" width="12.5" customWidth="1"/>
    <col min="3" max="3" width="14.5" customWidth="1"/>
    <col min="7" max="7" width="16.33203125" customWidth="1"/>
    <col min="10" max="10" width="15" customWidth="1"/>
  </cols>
  <sheetData>
    <row r="1" spans="1:15" x14ac:dyDescent="0.2">
      <c r="A1" t="s">
        <v>124</v>
      </c>
      <c r="B1" t="s">
        <v>129</v>
      </c>
      <c r="C1" t="s">
        <v>126</v>
      </c>
      <c r="J1" t="s">
        <v>119</v>
      </c>
      <c r="K1" t="s">
        <v>122</v>
      </c>
      <c r="L1" t="s">
        <v>128</v>
      </c>
    </row>
    <row r="2" spans="1:15" x14ac:dyDescent="0.2">
      <c r="A2" t="s">
        <v>32</v>
      </c>
      <c r="B2">
        <v>252</v>
      </c>
      <c r="C2">
        <v>540</v>
      </c>
      <c r="D2">
        <v>520</v>
      </c>
      <c r="J2" t="s">
        <v>32</v>
      </c>
      <c r="K2">
        <v>252</v>
      </c>
      <c r="L2">
        <v>575</v>
      </c>
      <c r="M2">
        <v>576</v>
      </c>
    </row>
    <row r="3" spans="1:15" x14ac:dyDescent="0.2">
      <c r="A3" t="s">
        <v>9</v>
      </c>
      <c r="B3">
        <v>372</v>
      </c>
      <c r="C3">
        <v>573</v>
      </c>
      <c r="D3">
        <v>24.444444444444446</v>
      </c>
      <c r="J3" t="s">
        <v>9</v>
      </c>
      <c r="K3">
        <v>372</v>
      </c>
      <c r="L3">
        <v>527</v>
      </c>
      <c r="M3">
        <v>280</v>
      </c>
    </row>
    <row r="4" spans="1:15" x14ac:dyDescent="0.2">
      <c r="A4" t="s">
        <v>5</v>
      </c>
      <c r="B4">
        <v>277</v>
      </c>
      <c r="C4">
        <v>496</v>
      </c>
      <c r="D4">
        <v>95.999999999999986</v>
      </c>
      <c r="J4" t="s">
        <v>5</v>
      </c>
      <c r="K4">
        <v>277</v>
      </c>
      <c r="L4">
        <v>508</v>
      </c>
      <c r="M4">
        <v>150.83333333333334</v>
      </c>
    </row>
    <row r="5" spans="1:15" x14ac:dyDescent="0.2">
      <c r="A5" t="s">
        <v>33</v>
      </c>
      <c r="B5">
        <v>208</v>
      </c>
      <c r="C5">
        <v>423</v>
      </c>
      <c r="D5">
        <v>137.83333333333334</v>
      </c>
      <c r="J5" t="s">
        <v>33</v>
      </c>
      <c r="K5">
        <v>208</v>
      </c>
      <c r="L5">
        <v>460</v>
      </c>
      <c r="M5">
        <v>115.33333333333333</v>
      </c>
    </row>
    <row r="9" spans="1:15" x14ac:dyDescent="0.2">
      <c r="A9" t="s">
        <v>124</v>
      </c>
      <c r="B9" t="s">
        <v>129</v>
      </c>
      <c r="C9" t="s">
        <v>100</v>
      </c>
      <c r="D9" t="s">
        <v>125</v>
      </c>
      <c r="E9" t="s">
        <v>126</v>
      </c>
      <c r="J9" t="s">
        <v>127</v>
      </c>
      <c r="K9" t="s">
        <v>122</v>
      </c>
      <c r="L9" t="s">
        <v>123</v>
      </c>
      <c r="M9" t="s">
        <v>100</v>
      </c>
      <c r="N9" t="s">
        <v>125</v>
      </c>
    </row>
    <row r="10" spans="1:15" x14ac:dyDescent="0.2">
      <c r="A10" t="s">
        <v>20</v>
      </c>
      <c r="B10">
        <v>98</v>
      </c>
      <c r="C10">
        <v>152</v>
      </c>
      <c r="D10">
        <v>176</v>
      </c>
      <c r="E10">
        <v>263</v>
      </c>
      <c r="F10">
        <v>17.53846153846154</v>
      </c>
      <c r="J10" t="s">
        <v>20</v>
      </c>
      <c r="K10">
        <v>162</v>
      </c>
      <c r="L10">
        <v>377</v>
      </c>
      <c r="M10">
        <v>408</v>
      </c>
      <c r="N10">
        <v>698</v>
      </c>
      <c r="O10">
        <v>238.63636363636363</v>
      </c>
    </row>
    <row r="11" spans="1:15" x14ac:dyDescent="0.2">
      <c r="A11" t="s">
        <v>14</v>
      </c>
      <c r="B11">
        <v>64</v>
      </c>
      <c r="C11">
        <v>167</v>
      </c>
      <c r="D11">
        <v>183</v>
      </c>
      <c r="E11">
        <v>297</v>
      </c>
      <c r="F11">
        <v>6.8421052631578947</v>
      </c>
      <c r="J11" t="s">
        <v>14</v>
      </c>
      <c r="K11">
        <v>181</v>
      </c>
      <c r="L11">
        <v>361</v>
      </c>
      <c r="M11">
        <v>412</v>
      </c>
      <c r="N11">
        <v>801</v>
      </c>
      <c r="O11">
        <v>389.09090909090912</v>
      </c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DEE2-1CDD-4438-BE56-DB19DDAF49A4}">
  <dimension ref="B4:H12"/>
  <sheetViews>
    <sheetView workbookViewId="0">
      <selection activeCell="I18" sqref="I18"/>
    </sheetView>
  </sheetViews>
  <sheetFormatPr baseColWidth="10" defaultColWidth="8.83203125" defaultRowHeight="16" x14ac:dyDescent="0.2"/>
  <cols>
    <col min="2" max="2" width="10.83203125" customWidth="1"/>
  </cols>
  <sheetData>
    <row r="4" spans="2:8" x14ac:dyDescent="0.2">
      <c r="C4">
        <v>8192</v>
      </c>
      <c r="D4">
        <v>2048</v>
      </c>
      <c r="E4">
        <v>512</v>
      </c>
      <c r="F4">
        <v>128</v>
      </c>
      <c r="G4">
        <v>32</v>
      </c>
      <c r="H4">
        <v>8</v>
      </c>
    </row>
    <row r="5" spans="2:8" x14ac:dyDescent="0.2">
      <c r="B5" t="s">
        <v>131</v>
      </c>
      <c r="C5" s="48">
        <v>0.95</v>
      </c>
      <c r="D5" s="48">
        <v>0.31</v>
      </c>
      <c r="E5" s="48">
        <v>8.1000000000000003E-2</v>
      </c>
      <c r="F5" s="48">
        <v>2.1999999999999999E-2</v>
      </c>
      <c r="G5" s="48">
        <v>5.0000000000000001E-3</v>
      </c>
      <c r="H5" s="48">
        <v>1E-3</v>
      </c>
    </row>
    <row r="6" spans="2:8" x14ac:dyDescent="0.2">
      <c r="B6" t="s">
        <v>130</v>
      </c>
      <c r="C6" s="48">
        <v>0.91</v>
      </c>
      <c r="D6" s="48">
        <v>0.27</v>
      </c>
      <c r="E6" s="48">
        <v>9.1999999999999998E-2</v>
      </c>
      <c r="F6" s="48">
        <v>2.1000000000000001E-2</v>
      </c>
      <c r="G6" s="48">
        <v>4.0000000000000001E-3</v>
      </c>
      <c r="H6" s="48">
        <v>1E-3</v>
      </c>
    </row>
    <row r="10" spans="2:8" x14ac:dyDescent="0.2">
      <c r="C10">
        <v>8192</v>
      </c>
      <c r="D10">
        <v>2048</v>
      </c>
      <c r="E10">
        <v>512</v>
      </c>
      <c r="F10">
        <v>128</v>
      </c>
      <c r="G10">
        <v>32</v>
      </c>
      <c r="H10">
        <v>8</v>
      </c>
    </row>
    <row r="11" spans="2:8" x14ac:dyDescent="0.2">
      <c r="B11" t="s">
        <v>131</v>
      </c>
      <c r="C11" s="48">
        <v>0.95</v>
      </c>
      <c r="D11" s="48">
        <v>0.31</v>
      </c>
      <c r="E11" s="48">
        <v>8.1000000000000003E-2</v>
      </c>
      <c r="F11" s="48">
        <v>2.1999999999999999E-2</v>
      </c>
      <c r="G11" s="48">
        <v>5.0000000000000001E-3</v>
      </c>
      <c r="H11" s="48">
        <v>1E-3</v>
      </c>
    </row>
    <row r="12" spans="2:8" x14ac:dyDescent="0.2">
      <c r="B12" t="s">
        <v>130</v>
      </c>
      <c r="C12" s="48">
        <v>0.91</v>
      </c>
      <c r="D12" s="48">
        <v>0.27</v>
      </c>
      <c r="E12" s="48">
        <v>9.1999999999999998E-2</v>
      </c>
      <c r="F12" s="48">
        <v>2.1000000000000001E-2</v>
      </c>
      <c r="G12" s="48">
        <v>4.0000000000000001E-3</v>
      </c>
      <c r="H12" s="48">
        <v>1E-3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A884-3CF9-7D47-B3E4-FE87F71C6FD2}">
  <dimension ref="A1:T39"/>
  <sheetViews>
    <sheetView workbookViewId="0">
      <selection activeCell="A21" sqref="A21:H39"/>
    </sheetView>
  </sheetViews>
  <sheetFormatPr baseColWidth="10" defaultColWidth="11" defaultRowHeight="16" x14ac:dyDescent="0.2"/>
  <sheetData>
    <row r="1" spans="1:20" x14ac:dyDescent="0.2">
      <c r="A1" s="8" t="s">
        <v>34</v>
      </c>
      <c r="B1" s="9" t="s">
        <v>31</v>
      </c>
      <c r="C1" s="10" t="s">
        <v>32</v>
      </c>
      <c r="D1" s="9" t="s">
        <v>9</v>
      </c>
      <c r="E1" s="9" t="s">
        <v>5</v>
      </c>
      <c r="F1" s="16" t="s">
        <v>33</v>
      </c>
      <c r="G1" s="17"/>
      <c r="H1" s="17"/>
      <c r="M1" s="8" t="s">
        <v>34</v>
      </c>
      <c r="N1" s="9" t="s">
        <v>46</v>
      </c>
      <c r="O1" s="10" t="s">
        <v>32</v>
      </c>
      <c r="P1" s="9" t="s">
        <v>9</v>
      </c>
      <c r="Q1" s="9" t="s">
        <v>5</v>
      </c>
      <c r="R1" s="16" t="s">
        <v>33</v>
      </c>
    </row>
    <row r="2" spans="1:20" x14ac:dyDescent="0.2">
      <c r="A2" s="68" t="s">
        <v>37</v>
      </c>
      <c r="B2" s="12" t="s">
        <v>36</v>
      </c>
      <c r="C2" s="12">
        <v>10000</v>
      </c>
      <c r="D2" s="12">
        <v>10000</v>
      </c>
      <c r="E2" s="12">
        <v>10000</v>
      </c>
      <c r="F2" s="12">
        <v>10000</v>
      </c>
      <c r="G2" s="18"/>
      <c r="H2" s="18"/>
      <c r="M2" s="20" t="s">
        <v>37</v>
      </c>
      <c r="N2" s="21" t="s">
        <v>47</v>
      </c>
      <c r="O2" s="21"/>
      <c r="P2" s="21"/>
      <c r="Q2" s="21"/>
      <c r="R2" s="22"/>
    </row>
    <row r="3" spans="1:20" x14ac:dyDescent="0.2">
      <c r="A3" s="69"/>
      <c r="B3" s="14" t="s">
        <v>35</v>
      </c>
      <c r="C3" s="14">
        <v>10000</v>
      </c>
      <c r="D3" s="14">
        <v>10000</v>
      </c>
      <c r="E3" s="14">
        <v>10000</v>
      </c>
      <c r="F3" s="14">
        <v>10000</v>
      </c>
      <c r="G3" s="18"/>
      <c r="H3" s="18"/>
      <c r="M3" s="20" t="s">
        <v>38</v>
      </c>
      <c r="N3" s="21" t="s">
        <v>47</v>
      </c>
      <c r="O3" s="21"/>
      <c r="P3" s="21"/>
      <c r="Q3" s="21"/>
      <c r="R3" s="22"/>
    </row>
    <row r="4" spans="1:20" x14ac:dyDescent="0.2">
      <c r="A4" s="66" t="s">
        <v>38</v>
      </c>
      <c r="B4" s="12" t="s">
        <v>36</v>
      </c>
      <c r="C4" s="12">
        <v>10000</v>
      </c>
      <c r="D4" s="12">
        <v>10000</v>
      </c>
      <c r="E4" s="12">
        <v>10000</v>
      </c>
      <c r="F4" s="12">
        <v>10000</v>
      </c>
      <c r="G4" s="18"/>
      <c r="H4" s="18"/>
      <c r="M4" s="20" t="s">
        <v>39</v>
      </c>
      <c r="N4" s="21" t="s">
        <v>47</v>
      </c>
      <c r="O4" s="21"/>
      <c r="P4" s="21"/>
      <c r="Q4" s="21"/>
      <c r="R4" s="22"/>
    </row>
    <row r="5" spans="1:20" x14ac:dyDescent="0.2">
      <c r="A5" s="67"/>
      <c r="B5" s="14" t="s">
        <v>35</v>
      </c>
      <c r="C5" s="14">
        <v>10000</v>
      </c>
      <c r="D5" s="14">
        <v>10000</v>
      </c>
      <c r="E5" s="14">
        <v>10000</v>
      </c>
      <c r="F5" s="14">
        <v>10000</v>
      </c>
      <c r="G5" s="18"/>
      <c r="H5" s="18"/>
      <c r="M5" s="20" t="s">
        <v>40</v>
      </c>
      <c r="N5" s="21" t="s">
        <v>47</v>
      </c>
      <c r="O5" s="21"/>
      <c r="P5" s="21"/>
      <c r="Q5" s="21"/>
      <c r="R5" s="22"/>
    </row>
    <row r="6" spans="1:20" x14ac:dyDescent="0.2">
      <c r="A6" s="66" t="s">
        <v>39</v>
      </c>
      <c r="B6" s="12" t="s">
        <v>36</v>
      </c>
      <c r="C6" s="12">
        <v>10000</v>
      </c>
      <c r="D6" s="12">
        <v>10000</v>
      </c>
      <c r="E6" s="12">
        <v>10000</v>
      </c>
      <c r="F6" s="12">
        <v>10000</v>
      </c>
      <c r="G6" s="18"/>
      <c r="H6" s="18"/>
      <c r="M6" s="20" t="s">
        <v>41</v>
      </c>
      <c r="N6" s="21" t="s">
        <v>47</v>
      </c>
      <c r="O6" s="21"/>
      <c r="P6" s="21"/>
      <c r="Q6" s="21"/>
      <c r="R6" s="22"/>
    </row>
    <row r="7" spans="1:20" x14ac:dyDescent="0.2">
      <c r="A7" s="67"/>
      <c r="B7" s="14" t="s">
        <v>35</v>
      </c>
      <c r="C7" s="14">
        <v>10000</v>
      </c>
      <c r="D7" s="14">
        <v>10000</v>
      </c>
      <c r="E7" s="14">
        <v>10000</v>
      </c>
      <c r="F7" s="14">
        <v>10000</v>
      </c>
      <c r="G7" s="18"/>
      <c r="H7" s="18"/>
      <c r="M7" s="20" t="s">
        <v>42</v>
      </c>
      <c r="N7" s="21" t="s">
        <v>47</v>
      </c>
      <c r="O7" s="21"/>
      <c r="P7" s="21"/>
      <c r="Q7" s="21"/>
      <c r="R7" s="22"/>
    </row>
    <row r="8" spans="1:20" x14ac:dyDescent="0.2">
      <c r="A8" s="66" t="s">
        <v>40</v>
      </c>
      <c r="B8" s="12" t="s">
        <v>36</v>
      </c>
      <c r="C8" s="12">
        <v>10000</v>
      </c>
      <c r="D8" s="12">
        <v>10000</v>
      </c>
      <c r="E8" s="12">
        <v>10000</v>
      </c>
      <c r="F8" s="12">
        <v>10000</v>
      </c>
      <c r="G8" s="18"/>
      <c r="H8" s="18"/>
      <c r="M8" s="20" t="s">
        <v>43</v>
      </c>
      <c r="N8" s="21" t="s">
        <v>47</v>
      </c>
      <c r="O8" s="21"/>
      <c r="P8" s="21"/>
      <c r="Q8" s="21"/>
      <c r="R8" s="22"/>
    </row>
    <row r="9" spans="1:20" x14ac:dyDescent="0.2">
      <c r="A9" s="67"/>
      <c r="B9" s="14" t="s">
        <v>35</v>
      </c>
      <c r="C9" s="14">
        <v>10000</v>
      </c>
      <c r="D9" s="14">
        <v>10000</v>
      </c>
      <c r="E9" s="14">
        <v>10000</v>
      </c>
      <c r="F9" s="14">
        <v>10000</v>
      </c>
      <c r="G9" s="18"/>
      <c r="H9" s="18"/>
      <c r="M9" s="20" t="s">
        <v>44</v>
      </c>
      <c r="N9" s="21" t="s">
        <v>47</v>
      </c>
      <c r="O9" s="21"/>
      <c r="P9" s="21"/>
      <c r="Q9" s="21"/>
      <c r="R9" s="22"/>
    </row>
    <row r="10" spans="1:20" x14ac:dyDescent="0.2">
      <c r="A10" s="66" t="s">
        <v>41</v>
      </c>
      <c r="B10" s="12" t="s">
        <v>36</v>
      </c>
      <c r="C10" s="12">
        <v>10000</v>
      </c>
      <c r="D10" s="12">
        <v>10000</v>
      </c>
      <c r="E10" s="12">
        <v>10000</v>
      </c>
      <c r="F10" s="12">
        <v>10000</v>
      </c>
      <c r="G10" s="18"/>
      <c r="H10" s="18"/>
      <c r="M10" s="20" t="s">
        <v>45</v>
      </c>
      <c r="N10" s="21" t="s">
        <v>47</v>
      </c>
      <c r="O10" s="21"/>
      <c r="P10" s="21"/>
      <c r="Q10" s="21"/>
      <c r="R10" s="22"/>
    </row>
    <row r="11" spans="1:20" x14ac:dyDescent="0.2">
      <c r="A11" s="67"/>
      <c r="B11" s="14" t="s">
        <v>35</v>
      </c>
      <c r="C11" s="14">
        <v>10000</v>
      </c>
      <c r="D11" s="14">
        <v>10000</v>
      </c>
      <c r="E11" s="14">
        <v>10000</v>
      </c>
      <c r="F11" s="14">
        <v>10000</v>
      </c>
      <c r="G11" s="18"/>
      <c r="H11" s="18"/>
      <c r="M11" s="19"/>
      <c r="N11" s="18"/>
      <c r="O11" s="18"/>
      <c r="P11" s="18"/>
      <c r="Q11" s="18"/>
      <c r="R11" s="18"/>
    </row>
    <row r="12" spans="1:20" x14ac:dyDescent="0.2">
      <c r="A12" s="66" t="s">
        <v>42</v>
      </c>
      <c r="B12" s="12" t="s">
        <v>36</v>
      </c>
      <c r="C12" s="12">
        <v>10000</v>
      </c>
      <c r="D12" s="12">
        <v>10000</v>
      </c>
      <c r="E12" s="12">
        <v>10000</v>
      </c>
      <c r="F12" s="12">
        <v>10000</v>
      </c>
      <c r="G12" s="18"/>
      <c r="H12" s="18"/>
      <c r="M12" s="8" t="s">
        <v>34</v>
      </c>
      <c r="N12" s="9" t="s">
        <v>46</v>
      </c>
      <c r="O12" s="10" t="s">
        <v>32</v>
      </c>
      <c r="P12" s="9" t="s">
        <v>9</v>
      </c>
      <c r="Q12" s="9" t="s">
        <v>5</v>
      </c>
      <c r="R12" s="16" t="s">
        <v>33</v>
      </c>
      <c r="S12" s="16" t="s">
        <v>33</v>
      </c>
      <c r="T12" s="16" t="s">
        <v>33</v>
      </c>
    </row>
    <row r="13" spans="1:20" x14ac:dyDescent="0.2">
      <c r="A13" s="67"/>
      <c r="B13" s="14" t="s">
        <v>35</v>
      </c>
      <c r="C13" s="14">
        <v>10000</v>
      </c>
      <c r="D13" s="14">
        <v>10000</v>
      </c>
      <c r="E13" s="14">
        <v>10000</v>
      </c>
      <c r="F13" s="14">
        <v>10000</v>
      </c>
      <c r="G13" s="18"/>
      <c r="H13" s="18"/>
      <c r="M13" s="20" t="s">
        <v>37</v>
      </c>
      <c r="N13" s="21" t="s">
        <v>47</v>
      </c>
      <c r="O13" s="21"/>
      <c r="P13" s="21"/>
      <c r="Q13" s="21"/>
      <c r="R13" s="22"/>
      <c r="S13" s="22"/>
      <c r="T13" s="22"/>
    </row>
    <row r="14" spans="1:20" x14ac:dyDescent="0.2">
      <c r="A14" s="66" t="s">
        <v>43</v>
      </c>
      <c r="B14" s="12" t="s">
        <v>36</v>
      </c>
      <c r="C14" s="12">
        <v>10000</v>
      </c>
      <c r="D14" s="12">
        <v>10000</v>
      </c>
      <c r="E14" s="12">
        <v>10000</v>
      </c>
      <c r="F14" s="12">
        <v>10000</v>
      </c>
      <c r="G14" s="18"/>
      <c r="H14" s="18"/>
      <c r="M14" s="20" t="s">
        <v>38</v>
      </c>
      <c r="N14" s="21" t="s">
        <v>47</v>
      </c>
      <c r="O14" s="21"/>
      <c r="P14" s="21"/>
      <c r="Q14" s="21"/>
      <c r="R14" s="22"/>
      <c r="S14" s="22"/>
      <c r="T14" s="22"/>
    </row>
    <row r="15" spans="1:20" x14ac:dyDescent="0.2">
      <c r="A15" s="67"/>
      <c r="B15" s="14" t="s">
        <v>35</v>
      </c>
      <c r="C15" s="14">
        <v>10000</v>
      </c>
      <c r="D15" s="14">
        <v>10000</v>
      </c>
      <c r="E15" s="14">
        <v>10000</v>
      </c>
      <c r="F15" s="14">
        <v>10000</v>
      </c>
      <c r="G15" s="18"/>
      <c r="H15" s="18"/>
      <c r="M15" s="20" t="s">
        <v>39</v>
      </c>
      <c r="N15" s="21" t="s">
        <v>47</v>
      </c>
      <c r="O15" s="21"/>
      <c r="P15" s="21"/>
      <c r="Q15" s="21"/>
      <c r="R15" s="22"/>
      <c r="S15" s="22"/>
      <c r="T15" s="22"/>
    </row>
    <row r="16" spans="1:20" x14ac:dyDescent="0.2">
      <c r="A16" s="66" t="s">
        <v>44</v>
      </c>
      <c r="B16" s="12" t="s">
        <v>36</v>
      </c>
      <c r="C16" s="12">
        <v>10000</v>
      </c>
      <c r="D16" s="12">
        <v>10000</v>
      </c>
      <c r="E16" s="12">
        <v>10000</v>
      </c>
      <c r="F16" s="12">
        <v>10000</v>
      </c>
      <c r="G16" s="18"/>
      <c r="H16" s="18"/>
      <c r="M16" s="20" t="s">
        <v>40</v>
      </c>
      <c r="N16" s="21" t="s">
        <v>47</v>
      </c>
      <c r="O16" s="21"/>
      <c r="P16" s="21"/>
      <c r="Q16" s="21"/>
      <c r="R16" s="22"/>
      <c r="S16" s="22"/>
      <c r="T16" s="22"/>
    </row>
    <row r="17" spans="1:20" x14ac:dyDescent="0.2">
      <c r="A17" s="67"/>
      <c r="B17" s="14" t="s">
        <v>35</v>
      </c>
      <c r="C17" s="14">
        <v>10000</v>
      </c>
      <c r="D17" s="14">
        <v>10000</v>
      </c>
      <c r="E17" s="14">
        <v>10000</v>
      </c>
      <c r="F17" s="14">
        <v>10000</v>
      </c>
      <c r="G17" s="18"/>
      <c r="H17" s="18"/>
      <c r="M17" s="20" t="s">
        <v>41</v>
      </c>
      <c r="N17" s="21" t="s">
        <v>47</v>
      </c>
      <c r="O17" s="21"/>
      <c r="P17" s="21"/>
      <c r="Q17" s="21"/>
      <c r="R17" s="22"/>
      <c r="S17" s="22"/>
      <c r="T17" s="22"/>
    </row>
    <row r="18" spans="1:20" x14ac:dyDescent="0.2">
      <c r="A18" s="66" t="s">
        <v>45</v>
      </c>
      <c r="B18" s="12" t="s">
        <v>36</v>
      </c>
      <c r="C18" s="12">
        <v>10000</v>
      </c>
      <c r="D18" s="12">
        <v>10000</v>
      </c>
      <c r="E18" s="12">
        <v>10000</v>
      </c>
      <c r="F18" s="12">
        <v>10000</v>
      </c>
      <c r="G18" s="18"/>
      <c r="H18" s="18"/>
      <c r="M18" s="20" t="s">
        <v>42</v>
      </c>
      <c r="N18" s="21" t="s">
        <v>47</v>
      </c>
      <c r="O18" s="21"/>
      <c r="P18" s="21"/>
      <c r="Q18" s="21"/>
      <c r="R18" s="22"/>
      <c r="S18" s="22"/>
      <c r="T18" s="22"/>
    </row>
    <row r="19" spans="1:20" x14ac:dyDescent="0.2">
      <c r="A19" s="67"/>
      <c r="B19" s="14" t="s">
        <v>35</v>
      </c>
      <c r="C19" s="14">
        <v>10000</v>
      </c>
      <c r="D19" s="14">
        <v>10000</v>
      </c>
      <c r="E19" s="14">
        <v>10000</v>
      </c>
      <c r="F19" s="14">
        <v>10000</v>
      </c>
      <c r="G19" s="18"/>
      <c r="H19" s="18"/>
      <c r="M19" s="20" t="s">
        <v>43</v>
      </c>
      <c r="N19" s="21" t="s">
        <v>47</v>
      </c>
      <c r="O19" s="21"/>
      <c r="P19" s="21"/>
      <c r="Q19" s="21"/>
      <c r="R19" s="22"/>
      <c r="S19" s="22"/>
      <c r="T19" s="22"/>
    </row>
    <row r="20" spans="1:20" x14ac:dyDescent="0.2">
      <c r="M20" s="20" t="s">
        <v>44</v>
      </c>
      <c r="N20" s="21" t="s">
        <v>47</v>
      </c>
      <c r="O20" s="21"/>
      <c r="P20" s="21"/>
      <c r="Q20" s="21"/>
      <c r="R20" s="22"/>
      <c r="S20" s="22"/>
      <c r="T20" s="22"/>
    </row>
    <row r="21" spans="1:20" x14ac:dyDescent="0.2">
      <c r="A21" s="8" t="s">
        <v>34</v>
      </c>
      <c r="B21" s="9" t="s">
        <v>31</v>
      </c>
      <c r="C21" s="10" t="s">
        <v>32</v>
      </c>
      <c r="D21" s="9" t="s">
        <v>9</v>
      </c>
      <c r="E21" s="9" t="s">
        <v>5</v>
      </c>
      <c r="F21" s="9" t="s">
        <v>33</v>
      </c>
      <c r="G21" s="9" t="s">
        <v>12</v>
      </c>
      <c r="H21" s="11" t="s">
        <v>14</v>
      </c>
      <c r="M21" s="20" t="s">
        <v>45</v>
      </c>
      <c r="N21" s="21" t="s">
        <v>47</v>
      </c>
      <c r="O21" s="21"/>
      <c r="P21" s="21"/>
      <c r="Q21" s="21"/>
      <c r="R21" s="22"/>
      <c r="S21" s="22"/>
      <c r="T21" s="22"/>
    </row>
    <row r="22" spans="1:20" x14ac:dyDescent="0.2">
      <c r="A22" s="68" t="s">
        <v>37</v>
      </c>
      <c r="B22" s="12" t="s">
        <v>36</v>
      </c>
      <c r="C22" s="12">
        <v>10000</v>
      </c>
      <c r="D22" s="12">
        <v>10000</v>
      </c>
      <c r="E22" s="12">
        <v>10000</v>
      </c>
      <c r="F22" s="12">
        <v>10000</v>
      </c>
      <c r="G22" s="12">
        <v>10000</v>
      </c>
      <c r="H22" s="12">
        <v>10000</v>
      </c>
    </row>
    <row r="23" spans="1:20" x14ac:dyDescent="0.2">
      <c r="A23" s="69"/>
      <c r="B23" s="14" t="s">
        <v>35</v>
      </c>
      <c r="C23" s="14">
        <v>10000</v>
      </c>
      <c r="D23" s="14">
        <v>10000</v>
      </c>
      <c r="E23" s="14">
        <v>10000</v>
      </c>
      <c r="F23" s="14">
        <v>10000</v>
      </c>
      <c r="G23" s="14">
        <v>10000</v>
      </c>
      <c r="H23" s="14">
        <v>10000</v>
      </c>
    </row>
    <row r="24" spans="1:20" x14ac:dyDescent="0.2">
      <c r="A24" s="66" t="s">
        <v>38</v>
      </c>
      <c r="B24" s="12" t="s">
        <v>36</v>
      </c>
      <c r="C24" s="12">
        <v>10000</v>
      </c>
      <c r="D24" s="12">
        <v>10000</v>
      </c>
      <c r="E24" s="12">
        <v>10000</v>
      </c>
      <c r="F24" s="12">
        <v>10000</v>
      </c>
      <c r="G24" s="12">
        <v>10000</v>
      </c>
      <c r="H24" s="12">
        <v>10000</v>
      </c>
    </row>
    <row r="25" spans="1:20" x14ac:dyDescent="0.2">
      <c r="A25" s="67"/>
      <c r="B25" s="14" t="s">
        <v>35</v>
      </c>
      <c r="C25" s="14">
        <v>10000</v>
      </c>
      <c r="D25" s="14">
        <v>10000</v>
      </c>
      <c r="E25" s="14">
        <v>10000</v>
      </c>
      <c r="F25" s="14">
        <v>10000</v>
      </c>
      <c r="G25" s="14">
        <v>10000</v>
      </c>
      <c r="H25" s="14">
        <v>10000</v>
      </c>
    </row>
    <row r="26" spans="1:20" x14ac:dyDescent="0.2">
      <c r="A26" s="66" t="s">
        <v>39</v>
      </c>
      <c r="B26" s="12" t="s">
        <v>36</v>
      </c>
      <c r="C26" s="12">
        <v>10000</v>
      </c>
      <c r="D26" s="12">
        <v>10000</v>
      </c>
      <c r="E26" s="12">
        <v>10000</v>
      </c>
      <c r="F26" s="12">
        <v>10000</v>
      </c>
      <c r="G26" s="12">
        <v>10000</v>
      </c>
      <c r="H26" s="12">
        <v>10000</v>
      </c>
    </row>
    <row r="27" spans="1:20" x14ac:dyDescent="0.2">
      <c r="A27" s="67"/>
      <c r="B27" s="14" t="s">
        <v>35</v>
      </c>
      <c r="C27" s="14">
        <v>10000</v>
      </c>
      <c r="D27" s="14">
        <v>10000</v>
      </c>
      <c r="E27" s="14">
        <v>10000</v>
      </c>
      <c r="F27" s="14">
        <v>10000</v>
      </c>
      <c r="G27" s="14">
        <v>10000</v>
      </c>
      <c r="H27" s="14">
        <v>10000</v>
      </c>
    </row>
    <row r="28" spans="1:20" x14ac:dyDescent="0.2">
      <c r="A28" s="66" t="s">
        <v>40</v>
      </c>
      <c r="B28" s="12" t="s">
        <v>36</v>
      </c>
      <c r="C28" s="12">
        <v>10000</v>
      </c>
      <c r="D28" s="12">
        <v>10000</v>
      </c>
      <c r="E28" s="12">
        <v>10000</v>
      </c>
      <c r="F28" s="12">
        <v>10000</v>
      </c>
      <c r="G28" s="12">
        <v>10000</v>
      </c>
      <c r="H28" s="12">
        <v>10000</v>
      </c>
    </row>
    <row r="29" spans="1:20" x14ac:dyDescent="0.2">
      <c r="A29" s="67"/>
      <c r="B29" s="14" t="s">
        <v>35</v>
      </c>
      <c r="C29" s="14">
        <v>10000</v>
      </c>
      <c r="D29" s="14">
        <v>10000</v>
      </c>
      <c r="E29" s="14">
        <v>10000</v>
      </c>
      <c r="F29" s="14">
        <v>10000</v>
      </c>
      <c r="G29" s="14">
        <v>10000</v>
      </c>
      <c r="H29" s="14">
        <v>10000</v>
      </c>
    </row>
    <row r="30" spans="1:20" x14ac:dyDescent="0.2">
      <c r="A30" s="66" t="s">
        <v>41</v>
      </c>
      <c r="B30" s="12" t="s">
        <v>36</v>
      </c>
      <c r="C30" s="12">
        <v>10000</v>
      </c>
      <c r="D30" s="12">
        <v>10000</v>
      </c>
      <c r="E30" s="12">
        <v>10000</v>
      </c>
      <c r="F30" s="12">
        <v>10000</v>
      </c>
      <c r="G30" s="12">
        <v>10000</v>
      </c>
      <c r="H30" s="12">
        <v>10000</v>
      </c>
    </row>
    <row r="31" spans="1:20" x14ac:dyDescent="0.2">
      <c r="A31" s="67"/>
      <c r="B31" s="14" t="s">
        <v>35</v>
      </c>
      <c r="C31" s="14">
        <v>10000</v>
      </c>
      <c r="D31" s="14">
        <v>10000</v>
      </c>
      <c r="E31" s="14">
        <v>10000</v>
      </c>
      <c r="F31" s="14">
        <v>10000</v>
      </c>
      <c r="G31" s="14">
        <v>10000</v>
      </c>
      <c r="H31" s="14">
        <v>10000</v>
      </c>
    </row>
    <row r="32" spans="1:20" x14ac:dyDescent="0.2">
      <c r="A32" s="66" t="s">
        <v>42</v>
      </c>
      <c r="B32" s="12" t="s">
        <v>36</v>
      </c>
      <c r="C32" s="12">
        <v>10000</v>
      </c>
      <c r="D32" s="12">
        <v>10000</v>
      </c>
      <c r="E32" s="12">
        <v>10000</v>
      </c>
      <c r="F32" s="12">
        <v>10000</v>
      </c>
      <c r="G32" s="12">
        <v>10000</v>
      </c>
      <c r="H32" s="12">
        <v>10000</v>
      </c>
    </row>
    <row r="33" spans="1:8" x14ac:dyDescent="0.2">
      <c r="A33" s="67"/>
      <c r="B33" s="14" t="s">
        <v>35</v>
      </c>
      <c r="C33" s="14">
        <v>10000</v>
      </c>
      <c r="D33" s="14">
        <v>10000</v>
      </c>
      <c r="E33" s="14">
        <v>10000</v>
      </c>
      <c r="F33" s="14">
        <v>10000</v>
      </c>
      <c r="G33" s="14">
        <v>10000</v>
      </c>
      <c r="H33" s="14">
        <v>10000</v>
      </c>
    </row>
    <row r="34" spans="1:8" x14ac:dyDescent="0.2">
      <c r="A34" s="66" t="s">
        <v>43</v>
      </c>
      <c r="B34" s="12" t="s">
        <v>36</v>
      </c>
      <c r="C34" s="12">
        <v>10000</v>
      </c>
      <c r="D34" s="12">
        <v>10000</v>
      </c>
      <c r="E34" s="12">
        <v>10000</v>
      </c>
      <c r="F34" s="12">
        <v>10000</v>
      </c>
      <c r="G34" s="12">
        <v>10000</v>
      </c>
      <c r="H34" s="12">
        <v>10000</v>
      </c>
    </row>
    <row r="35" spans="1:8" x14ac:dyDescent="0.2">
      <c r="A35" s="67"/>
      <c r="B35" s="14" t="s">
        <v>35</v>
      </c>
      <c r="C35" s="14">
        <v>10000</v>
      </c>
      <c r="D35" s="14">
        <v>10000</v>
      </c>
      <c r="E35" s="14">
        <v>10000</v>
      </c>
      <c r="F35" s="14">
        <v>10000</v>
      </c>
      <c r="G35" s="14">
        <v>10000</v>
      </c>
      <c r="H35" s="14">
        <v>10000</v>
      </c>
    </row>
    <row r="36" spans="1:8" x14ac:dyDescent="0.2">
      <c r="A36" s="66" t="s">
        <v>44</v>
      </c>
      <c r="B36" s="12" t="s">
        <v>36</v>
      </c>
      <c r="C36" s="12">
        <v>10000</v>
      </c>
      <c r="D36" s="12">
        <v>10000</v>
      </c>
      <c r="E36" s="12">
        <v>10000</v>
      </c>
      <c r="F36" s="12">
        <v>10000</v>
      </c>
      <c r="G36" s="12">
        <v>10000</v>
      </c>
      <c r="H36" s="12">
        <v>10000</v>
      </c>
    </row>
    <row r="37" spans="1:8" x14ac:dyDescent="0.2">
      <c r="A37" s="67"/>
      <c r="B37" s="14" t="s">
        <v>35</v>
      </c>
      <c r="C37" s="14">
        <v>10000</v>
      </c>
      <c r="D37" s="14">
        <v>10000</v>
      </c>
      <c r="E37" s="14">
        <v>10000</v>
      </c>
      <c r="F37" s="14">
        <v>10000</v>
      </c>
      <c r="G37" s="14">
        <v>10000</v>
      </c>
      <c r="H37" s="14">
        <v>10000</v>
      </c>
    </row>
    <row r="38" spans="1:8" x14ac:dyDescent="0.2">
      <c r="A38" s="66" t="s">
        <v>45</v>
      </c>
      <c r="B38" s="12" t="s">
        <v>36</v>
      </c>
      <c r="C38" s="12">
        <v>10000</v>
      </c>
      <c r="D38" s="12">
        <v>10000</v>
      </c>
      <c r="E38" s="12">
        <v>10000</v>
      </c>
      <c r="F38" s="12">
        <v>10000</v>
      </c>
      <c r="G38" s="12">
        <v>10000</v>
      </c>
      <c r="H38" s="12">
        <v>10000</v>
      </c>
    </row>
    <row r="39" spans="1:8" x14ac:dyDescent="0.2">
      <c r="A39" s="67"/>
      <c r="B39" s="14" t="s">
        <v>35</v>
      </c>
      <c r="C39" s="14">
        <v>10000</v>
      </c>
      <c r="D39" s="14">
        <v>10000</v>
      </c>
      <c r="E39" s="14">
        <v>10000</v>
      </c>
      <c r="F39" s="14">
        <v>10000</v>
      </c>
      <c r="G39" s="14">
        <v>10000</v>
      </c>
      <c r="H39" s="14">
        <v>10000</v>
      </c>
    </row>
  </sheetData>
  <mergeCells count="18">
    <mergeCell ref="A38:A39"/>
    <mergeCell ref="A14:A15"/>
    <mergeCell ref="A16:A17"/>
    <mergeCell ref="A18:A19"/>
    <mergeCell ref="A22:A23"/>
    <mergeCell ref="A24:A25"/>
    <mergeCell ref="A26:A27"/>
    <mergeCell ref="A28:A29"/>
    <mergeCell ref="A30:A31"/>
    <mergeCell ref="A32:A33"/>
    <mergeCell ref="A34:A35"/>
    <mergeCell ref="A36:A37"/>
    <mergeCell ref="A12:A13"/>
    <mergeCell ref="A2:A3"/>
    <mergeCell ref="A4:A5"/>
    <mergeCell ref="A6:A7"/>
    <mergeCell ref="A8:A9"/>
    <mergeCell ref="A10:A1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143F-3508-6E4B-857C-A197C4577547}">
  <dimension ref="A1:Y49"/>
  <sheetViews>
    <sheetView tabSelected="1" topLeftCell="G9" zoomScale="125" workbookViewId="0">
      <selection activeCell="S29" sqref="S29:Y34"/>
    </sheetView>
  </sheetViews>
  <sheetFormatPr baseColWidth="10" defaultColWidth="11" defaultRowHeight="16" x14ac:dyDescent="0.2"/>
  <sheetData>
    <row r="1" spans="1:18" x14ac:dyDescent="0.2">
      <c r="A1" t="s">
        <v>48</v>
      </c>
    </row>
    <row r="2" spans="1:18" x14ac:dyDescent="0.2">
      <c r="A2" s="36" t="s">
        <v>31</v>
      </c>
      <c r="B2" s="10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11" t="s">
        <v>45</v>
      </c>
    </row>
    <row r="3" spans="1:18" x14ac:dyDescent="0.2">
      <c r="A3" s="39" t="s">
        <v>32</v>
      </c>
      <c r="B3" s="29">
        <v>512</v>
      </c>
      <c r="C3" s="29">
        <v>544</v>
      </c>
      <c r="D3" s="29">
        <v>160</v>
      </c>
      <c r="E3" s="29">
        <v>128</v>
      </c>
      <c r="F3" s="29">
        <v>128</v>
      </c>
      <c r="G3" s="29">
        <v>224</v>
      </c>
      <c r="H3" s="29">
        <v>608</v>
      </c>
      <c r="I3" s="29">
        <v>1088</v>
      </c>
      <c r="J3" s="27">
        <v>1152</v>
      </c>
      <c r="K3">
        <f>AVERAGE(B3:J3)</f>
        <v>504.88888888888891</v>
      </c>
    </row>
    <row r="4" spans="1:18" x14ac:dyDescent="0.2">
      <c r="A4" s="46" t="s">
        <v>9</v>
      </c>
      <c r="B4" s="29">
        <v>2016</v>
      </c>
      <c r="C4" s="29">
        <v>2272</v>
      </c>
      <c r="D4" s="29">
        <v>640</v>
      </c>
      <c r="E4" s="29">
        <v>960</v>
      </c>
      <c r="F4" s="29">
        <v>2336</v>
      </c>
      <c r="G4" s="29">
        <v>608</v>
      </c>
      <c r="H4" s="29">
        <v>736</v>
      </c>
      <c r="I4" s="29">
        <v>640</v>
      </c>
      <c r="J4" s="27">
        <v>6496</v>
      </c>
      <c r="K4">
        <f t="shared" ref="K4:K6" si="0">AVERAGE(B4:J4)</f>
        <v>1856</v>
      </c>
      <c r="R4" t="s">
        <v>21</v>
      </c>
    </row>
    <row r="5" spans="1:18" x14ac:dyDescent="0.2">
      <c r="A5" s="46" t="s">
        <v>5</v>
      </c>
      <c r="B5" s="1">
        <v>1536</v>
      </c>
      <c r="C5" s="1">
        <v>6880</v>
      </c>
      <c r="D5" s="1">
        <v>416</v>
      </c>
      <c r="E5" s="1">
        <v>160</v>
      </c>
      <c r="F5" s="1">
        <v>6944</v>
      </c>
      <c r="G5" s="1">
        <v>3584</v>
      </c>
      <c r="H5" s="1">
        <v>7264</v>
      </c>
      <c r="I5" s="1">
        <v>7520</v>
      </c>
      <c r="J5" s="34">
        <v>7712</v>
      </c>
      <c r="K5">
        <f t="shared" si="0"/>
        <v>4668.4444444444443</v>
      </c>
    </row>
    <row r="6" spans="1:18" x14ac:dyDescent="0.2">
      <c r="A6" s="47" t="s">
        <v>33</v>
      </c>
      <c r="B6" s="1">
        <v>480</v>
      </c>
      <c r="C6" s="1">
        <v>7168</v>
      </c>
      <c r="D6" s="1">
        <v>128</v>
      </c>
      <c r="E6" s="1">
        <v>96</v>
      </c>
      <c r="F6" s="1">
        <v>608</v>
      </c>
      <c r="G6" s="1">
        <v>480</v>
      </c>
      <c r="H6" s="1">
        <v>1216</v>
      </c>
      <c r="I6" s="1">
        <v>448</v>
      </c>
      <c r="J6" s="34">
        <v>736</v>
      </c>
      <c r="K6">
        <f t="shared" si="0"/>
        <v>1262.2222222222222</v>
      </c>
    </row>
    <row r="7" spans="1:18" x14ac:dyDescent="0.2">
      <c r="A7" s="19"/>
      <c r="B7" s="18"/>
      <c r="C7" s="18"/>
      <c r="D7" s="18"/>
      <c r="E7" s="18"/>
      <c r="F7" s="18"/>
      <c r="G7" s="18"/>
      <c r="H7" s="18"/>
      <c r="I7" s="18"/>
      <c r="J7" s="18"/>
    </row>
    <row r="8" spans="1:18" x14ac:dyDescent="0.2">
      <c r="A8" s="19"/>
      <c r="B8" s="18"/>
      <c r="C8" s="18"/>
      <c r="D8" s="18"/>
      <c r="E8" s="18"/>
      <c r="F8" s="18"/>
      <c r="G8" s="18"/>
      <c r="H8" s="18"/>
      <c r="I8" s="18"/>
      <c r="J8" s="18"/>
    </row>
    <row r="11" spans="1:18" x14ac:dyDescent="0.2">
      <c r="A11" s="19" t="s">
        <v>60</v>
      </c>
    </row>
    <row r="12" spans="1:18" x14ac:dyDescent="0.2">
      <c r="A12" s="36" t="s">
        <v>31</v>
      </c>
      <c r="B12" s="10" t="s">
        <v>37</v>
      </c>
      <c r="C12" s="9" t="s">
        <v>38</v>
      </c>
      <c r="D12" s="9" t="s">
        <v>39</v>
      </c>
      <c r="E12" s="9" t="s">
        <v>40</v>
      </c>
      <c r="F12" s="9" t="s">
        <v>41</v>
      </c>
      <c r="G12" s="9" t="s">
        <v>42</v>
      </c>
      <c r="H12" s="9" t="s">
        <v>43</v>
      </c>
      <c r="I12" s="9" t="s">
        <v>44</v>
      </c>
      <c r="J12" s="11" t="s">
        <v>45</v>
      </c>
    </row>
    <row r="13" spans="1:18" x14ac:dyDescent="0.2">
      <c r="A13" s="39" t="s">
        <v>32</v>
      </c>
      <c r="B13" s="29">
        <v>608</v>
      </c>
      <c r="C13" s="29">
        <v>2592</v>
      </c>
      <c r="D13" s="29">
        <v>160</v>
      </c>
      <c r="E13" s="29">
        <v>194</v>
      </c>
      <c r="F13" s="29">
        <v>2816</v>
      </c>
      <c r="G13" s="29">
        <v>800</v>
      </c>
      <c r="H13" s="29">
        <v>416</v>
      </c>
      <c r="I13" s="29">
        <v>2592</v>
      </c>
      <c r="J13" s="27">
        <v>576</v>
      </c>
      <c r="K13">
        <f>AVERAGE(B13:J13)</f>
        <v>1194.8888888888889</v>
      </c>
    </row>
    <row r="14" spans="1:18" x14ac:dyDescent="0.2">
      <c r="A14" s="46" t="s">
        <v>9</v>
      </c>
      <c r="B14" s="29">
        <v>512</v>
      </c>
      <c r="C14" s="29">
        <v>576</v>
      </c>
      <c r="D14" s="29">
        <v>288</v>
      </c>
      <c r="E14" s="29">
        <v>128</v>
      </c>
      <c r="F14" s="29">
        <v>1312</v>
      </c>
      <c r="G14" s="29">
        <v>640</v>
      </c>
      <c r="H14" s="29">
        <v>544</v>
      </c>
      <c r="I14" s="29">
        <v>1088</v>
      </c>
      <c r="J14" s="27">
        <v>3584</v>
      </c>
      <c r="K14">
        <f t="shared" ref="K14:K18" si="1">AVERAGE(B14:J14)</f>
        <v>963.55555555555554</v>
      </c>
    </row>
    <row r="15" spans="1:18" x14ac:dyDescent="0.2">
      <c r="A15" s="46" t="s">
        <v>5</v>
      </c>
      <c r="B15" s="1">
        <v>2944</v>
      </c>
      <c r="C15" s="1">
        <v>4320</v>
      </c>
      <c r="D15" s="1">
        <v>64</v>
      </c>
      <c r="E15" s="1">
        <v>98</v>
      </c>
      <c r="F15" s="1">
        <v>7584</v>
      </c>
      <c r="G15" s="1">
        <v>864</v>
      </c>
      <c r="H15" s="1">
        <v>288</v>
      </c>
      <c r="I15" s="1">
        <v>736</v>
      </c>
      <c r="J15" s="34">
        <v>4064</v>
      </c>
      <c r="K15">
        <f t="shared" si="1"/>
        <v>2329.1111111111113</v>
      </c>
    </row>
    <row r="16" spans="1:18" x14ac:dyDescent="0.2">
      <c r="A16" s="46" t="s">
        <v>33</v>
      </c>
      <c r="B16" s="32">
        <v>576</v>
      </c>
      <c r="C16" s="32">
        <v>512</v>
      </c>
      <c r="D16" s="32">
        <v>160</v>
      </c>
      <c r="E16" s="32">
        <v>160</v>
      </c>
      <c r="F16" s="32">
        <v>736</v>
      </c>
      <c r="G16" s="32">
        <v>704</v>
      </c>
      <c r="H16" s="32">
        <v>992</v>
      </c>
      <c r="I16" s="32">
        <v>704</v>
      </c>
      <c r="J16" s="7">
        <v>832</v>
      </c>
      <c r="K16">
        <f t="shared" si="1"/>
        <v>597.33333333333337</v>
      </c>
    </row>
    <row r="17" spans="1:25" x14ac:dyDescent="0.2">
      <c r="A17" s="46" t="s">
        <v>20</v>
      </c>
      <c r="B17" s="12">
        <v>1728</v>
      </c>
      <c r="C17" s="12">
        <v>1568</v>
      </c>
      <c r="D17" s="12">
        <v>608</v>
      </c>
      <c r="E17" s="12">
        <v>384</v>
      </c>
      <c r="F17" s="12">
        <v>1632</v>
      </c>
      <c r="G17" s="12">
        <v>1760</v>
      </c>
      <c r="H17" s="12">
        <v>1472</v>
      </c>
      <c r="I17" s="12">
        <v>1504</v>
      </c>
      <c r="J17" s="13">
        <v>1760</v>
      </c>
      <c r="K17">
        <f t="shared" si="1"/>
        <v>1379.5555555555557</v>
      </c>
    </row>
    <row r="18" spans="1:25" x14ac:dyDescent="0.2">
      <c r="A18" s="47" t="s">
        <v>14</v>
      </c>
      <c r="B18" s="21">
        <v>1472</v>
      </c>
      <c r="C18" s="21">
        <v>1600</v>
      </c>
      <c r="D18" s="21">
        <v>480</v>
      </c>
      <c r="E18" s="21">
        <v>288</v>
      </c>
      <c r="F18" s="21">
        <v>1216</v>
      </c>
      <c r="G18" s="21">
        <v>1120</v>
      </c>
      <c r="H18" s="21">
        <v>928</v>
      </c>
      <c r="I18" s="21">
        <v>1600</v>
      </c>
      <c r="J18" s="35">
        <v>1472</v>
      </c>
      <c r="K18">
        <f t="shared" si="1"/>
        <v>1130.6666666666667</v>
      </c>
    </row>
    <row r="19" spans="1:25" x14ac:dyDescent="0.2">
      <c r="K19">
        <f>AVERAGE(K3:K18)</f>
        <v>1588.6666666666665</v>
      </c>
    </row>
    <row r="26" spans="1:25" x14ac:dyDescent="0.2">
      <c r="C26" t="s">
        <v>98</v>
      </c>
      <c r="D26">
        <v>128</v>
      </c>
      <c r="E26">
        <v>256</v>
      </c>
      <c r="F26">
        <v>512</v>
      </c>
      <c r="G26" t="s">
        <v>105</v>
      </c>
      <c r="H26" t="s">
        <v>106</v>
      </c>
      <c r="I26" t="s">
        <v>107</v>
      </c>
      <c r="J26" t="s">
        <v>108</v>
      </c>
      <c r="K26" t="s">
        <v>99</v>
      </c>
    </row>
    <row r="27" spans="1:25" x14ac:dyDescent="0.2">
      <c r="C27" t="s">
        <v>47</v>
      </c>
      <c r="D27">
        <f>D32/1000</f>
        <v>8.8206875910000004</v>
      </c>
      <c r="E27">
        <f t="shared" ref="E27:K28" si="2">E32/1000</f>
        <v>5.2</v>
      </c>
      <c r="F27">
        <f t="shared" si="2"/>
        <v>3.5503900929999999</v>
      </c>
      <c r="G27">
        <f t="shared" si="2"/>
        <v>1.9</v>
      </c>
      <c r="H27">
        <f t="shared" si="2"/>
        <v>1.0807918810000001</v>
      </c>
      <c r="I27">
        <f>I32/1000</f>
        <v>0.7</v>
      </c>
      <c r="J27">
        <f t="shared" si="2"/>
        <v>0.50804384199999997</v>
      </c>
      <c r="K27">
        <f t="shared" si="2"/>
        <v>0.50081326800000003</v>
      </c>
    </row>
    <row r="28" spans="1:25" x14ac:dyDescent="0.2">
      <c r="C28" t="s">
        <v>35</v>
      </c>
      <c r="D28">
        <f>D33/1000</f>
        <v>0.50800000000000001</v>
      </c>
      <c r="E28">
        <f t="shared" si="2"/>
        <v>0.50800000000000001</v>
      </c>
      <c r="F28">
        <f t="shared" ref="F28:K28" si="3">F33/1000</f>
        <v>0.50800000000000001</v>
      </c>
      <c r="G28">
        <f t="shared" si="3"/>
        <v>0.50800000000000001</v>
      </c>
      <c r="H28">
        <f t="shared" si="3"/>
        <v>0.50800000000000001</v>
      </c>
      <c r="I28">
        <f t="shared" si="3"/>
        <v>0.50800000000000001</v>
      </c>
      <c r="J28">
        <f t="shared" si="3"/>
        <v>0.50800000000000001</v>
      </c>
      <c r="K28">
        <f t="shared" si="3"/>
        <v>0.50800000000000001</v>
      </c>
    </row>
    <row r="29" spans="1:25" x14ac:dyDescent="0.2">
      <c r="S29" t="s">
        <v>152</v>
      </c>
      <c r="T29" t="s">
        <v>153</v>
      </c>
      <c r="U29" t="s">
        <v>154</v>
      </c>
      <c r="V29" t="s">
        <v>155</v>
      </c>
      <c r="W29" t="s">
        <v>156</v>
      </c>
      <c r="X29" t="s">
        <v>157</v>
      </c>
      <c r="Y29" t="s">
        <v>158</v>
      </c>
    </row>
    <row r="30" spans="1:25" x14ac:dyDescent="0.2">
      <c r="S30" t="s">
        <v>159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D31">
        <f t="shared" ref="D31:J31" si="4">D32/D33</f>
        <v>17.363558250000001</v>
      </c>
      <c r="E31">
        <f t="shared" si="4"/>
        <v>10.236220472440944</v>
      </c>
      <c r="F31">
        <f t="shared" si="4"/>
        <v>6.9889568759842522</v>
      </c>
      <c r="G31">
        <f t="shared" si="4"/>
        <v>3.7401574803149606</v>
      </c>
      <c r="H31">
        <f t="shared" si="4"/>
        <v>2.1275430728346461</v>
      </c>
      <c r="I31">
        <f t="shared" si="4"/>
        <v>1.3779527559055118</v>
      </c>
      <c r="J31">
        <f t="shared" si="4"/>
        <v>1.0000863031496063</v>
      </c>
      <c r="K31">
        <f>K32/K33</f>
        <v>0.98585288976377949</v>
      </c>
      <c r="S31" t="s">
        <v>160</v>
      </c>
      <c r="T31">
        <v>1</v>
      </c>
      <c r="U31">
        <v>3</v>
      </c>
      <c r="V31">
        <v>8</v>
      </c>
      <c r="W31">
        <v>17</v>
      </c>
      <c r="X31">
        <v>22</v>
      </c>
      <c r="Y31">
        <v>22</v>
      </c>
    </row>
    <row r="32" spans="1:25" x14ac:dyDescent="0.2">
      <c r="D32">
        <v>8820.6875909999999</v>
      </c>
      <c r="E32">
        <v>5200</v>
      </c>
      <c r="F32">
        <v>3550.390093</v>
      </c>
      <c r="G32">
        <v>1900</v>
      </c>
      <c r="H32">
        <v>1080.7918810000001</v>
      </c>
      <c r="I32">
        <v>700</v>
      </c>
      <c r="J32">
        <v>508.04384199999998</v>
      </c>
      <c r="K32">
        <v>500.81326799999999</v>
      </c>
      <c r="S32" t="s">
        <v>161</v>
      </c>
      <c r="T32">
        <v>4</v>
      </c>
      <c r="U32">
        <v>9</v>
      </c>
      <c r="V32">
        <v>22</v>
      </c>
      <c r="W32">
        <v>47</v>
      </c>
      <c r="X32">
        <v>100</v>
      </c>
      <c r="Y32">
        <v>100</v>
      </c>
    </row>
    <row r="33" spans="2:25" x14ac:dyDescent="0.2">
      <c r="D33">
        <v>508</v>
      </c>
      <c r="E33">
        <v>508</v>
      </c>
      <c r="F33">
        <v>508</v>
      </c>
      <c r="G33">
        <v>508</v>
      </c>
      <c r="H33">
        <v>508</v>
      </c>
      <c r="I33">
        <v>508</v>
      </c>
      <c r="J33">
        <v>508</v>
      </c>
      <c r="K33">
        <v>508</v>
      </c>
      <c r="S33" t="s">
        <v>162</v>
      </c>
      <c r="T33">
        <v>2</v>
      </c>
      <c r="U33">
        <v>3</v>
      </c>
      <c r="V33">
        <v>6</v>
      </c>
      <c r="W33">
        <v>15</v>
      </c>
      <c r="X33">
        <v>100</v>
      </c>
      <c r="Y33">
        <v>100</v>
      </c>
    </row>
    <row r="34" spans="2:25" x14ac:dyDescent="0.2">
      <c r="S34" t="s">
        <v>35</v>
      </c>
      <c r="T34">
        <v>9</v>
      </c>
      <c r="U34">
        <v>18</v>
      </c>
      <c r="V34">
        <v>41</v>
      </c>
      <c r="W34">
        <v>89</v>
      </c>
      <c r="X34">
        <v>100</v>
      </c>
      <c r="Y34">
        <v>100</v>
      </c>
    </row>
    <row r="36" spans="2:25" x14ac:dyDescent="0.2">
      <c r="B36" t="s">
        <v>151</v>
      </c>
      <c r="C36" t="s">
        <v>98</v>
      </c>
      <c r="D36">
        <v>128</v>
      </c>
      <c r="E36">
        <v>256</v>
      </c>
      <c r="F36">
        <v>512</v>
      </c>
      <c r="G36" t="s">
        <v>105</v>
      </c>
      <c r="H36" t="s">
        <v>106</v>
      </c>
      <c r="I36" t="s">
        <v>107</v>
      </c>
      <c r="J36" t="s">
        <v>108</v>
      </c>
      <c r="K36" t="s">
        <v>99</v>
      </c>
    </row>
    <row r="37" spans="2:25" x14ac:dyDescent="0.2">
      <c r="C37" t="s">
        <v>47</v>
      </c>
      <c r="D37">
        <v>15.627202425</v>
      </c>
      <c r="E37">
        <v>10.2125984251968</v>
      </c>
      <c r="F37">
        <v>6.2900611883858275</v>
      </c>
      <c r="G37">
        <v>3.3661417322834599</v>
      </c>
      <c r="H37">
        <v>1.9147887655511815</v>
      </c>
      <c r="I37">
        <v>1.2401574803149606</v>
      </c>
      <c r="J37">
        <v>0.90007767283464568</v>
      </c>
      <c r="K37">
        <v>0.88726760078740152</v>
      </c>
    </row>
    <row r="38" spans="2:25" x14ac:dyDescent="0.2">
      <c r="C38" t="s">
        <v>35</v>
      </c>
      <c r="D38">
        <v>0.9</v>
      </c>
      <c r="E38">
        <v>0.9</v>
      </c>
      <c r="F38">
        <v>0.9</v>
      </c>
      <c r="G38">
        <v>0.9</v>
      </c>
      <c r="H38">
        <v>0.9</v>
      </c>
      <c r="I38">
        <v>0.9</v>
      </c>
      <c r="J38">
        <v>0.9</v>
      </c>
      <c r="K38">
        <v>0.9</v>
      </c>
    </row>
    <row r="45" spans="2:25" x14ac:dyDescent="0.2">
      <c r="C45" t="s">
        <v>98</v>
      </c>
      <c r="D45" t="s">
        <v>101</v>
      </c>
      <c r="E45" t="s">
        <v>102</v>
      </c>
      <c r="F45" t="s">
        <v>103</v>
      </c>
      <c r="G45" t="s">
        <v>104</v>
      </c>
    </row>
    <row r="46" spans="2:25" x14ac:dyDescent="0.2">
      <c r="C46" t="s">
        <v>109</v>
      </c>
      <c r="D46">
        <v>1</v>
      </c>
      <c r="E46">
        <v>1.897</v>
      </c>
      <c r="F46">
        <v>3.8380000000000001</v>
      </c>
      <c r="G46">
        <v>7.5880000000000001</v>
      </c>
    </row>
    <row r="47" spans="2:25" x14ac:dyDescent="0.2">
      <c r="C47" t="s">
        <v>110</v>
      </c>
      <c r="D47">
        <v>1</v>
      </c>
      <c r="E47">
        <v>1.7210000000000001</v>
      </c>
      <c r="F47">
        <v>3.3109999999999999</v>
      </c>
      <c r="G47">
        <v>6.242</v>
      </c>
    </row>
    <row r="48" spans="2:25" x14ac:dyDescent="0.2">
      <c r="C48" t="s">
        <v>111</v>
      </c>
      <c r="D48">
        <v>1</v>
      </c>
      <c r="E48">
        <v>1.7809999999999999</v>
      </c>
      <c r="F48">
        <v>3.7429999999999999</v>
      </c>
      <c r="G48">
        <v>7.3470000000000004</v>
      </c>
    </row>
    <row r="49" spans="3:7" x14ac:dyDescent="0.2">
      <c r="C49" t="s">
        <v>112</v>
      </c>
      <c r="D49">
        <v>1</v>
      </c>
      <c r="E49">
        <v>1.821</v>
      </c>
      <c r="F49">
        <v>3.698</v>
      </c>
      <c r="G49">
        <v>7.4119999999999999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07AF-BDE3-9F40-8C91-1386AD579B37}">
  <dimension ref="A1:AA31"/>
  <sheetViews>
    <sheetView topLeftCell="A3" workbookViewId="0">
      <selection activeCell="M13" sqref="M13"/>
    </sheetView>
  </sheetViews>
  <sheetFormatPr baseColWidth="10" defaultRowHeight="16" x14ac:dyDescent="0.2"/>
  <cols>
    <col min="2" max="2" width="17.1640625" customWidth="1"/>
  </cols>
  <sheetData>
    <row r="1" spans="1:27" x14ac:dyDescent="0.2">
      <c r="A1" t="s">
        <v>48</v>
      </c>
    </row>
    <row r="2" spans="1:27" x14ac:dyDescent="0.2">
      <c r="A2" s="36" t="s">
        <v>31</v>
      </c>
      <c r="B2" s="10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11" t="s">
        <v>45</v>
      </c>
    </row>
    <row r="3" spans="1:27" x14ac:dyDescent="0.2">
      <c r="A3" s="39" t="s">
        <v>32</v>
      </c>
      <c r="B3" s="29"/>
      <c r="C3" s="29"/>
      <c r="D3" s="29"/>
      <c r="E3" s="29"/>
      <c r="F3" s="29"/>
      <c r="G3" s="29"/>
      <c r="H3" s="29"/>
      <c r="I3" s="29"/>
      <c r="J3" s="27"/>
    </row>
    <row r="4" spans="1:27" x14ac:dyDescent="0.2">
      <c r="A4" s="46" t="s">
        <v>9</v>
      </c>
      <c r="B4" s="29"/>
      <c r="C4" s="29"/>
      <c r="D4" s="29"/>
      <c r="E4" s="29"/>
      <c r="F4" s="29"/>
      <c r="G4" s="29"/>
      <c r="H4" s="29"/>
      <c r="I4" s="29"/>
      <c r="J4" s="27"/>
    </row>
    <row r="5" spans="1:27" x14ac:dyDescent="0.2">
      <c r="A5" s="46" t="s">
        <v>5</v>
      </c>
      <c r="B5" s="1"/>
      <c r="C5" s="1"/>
      <c r="D5" s="1"/>
      <c r="E5" s="1"/>
      <c r="F5" s="1"/>
      <c r="G5" s="1"/>
      <c r="H5" s="1"/>
      <c r="I5" s="1"/>
      <c r="J5" s="34"/>
    </row>
    <row r="6" spans="1:27" x14ac:dyDescent="0.2">
      <c r="A6" s="47" t="s">
        <v>33</v>
      </c>
      <c r="B6" s="1"/>
      <c r="C6" s="1"/>
      <c r="D6" s="1"/>
      <c r="E6" s="1"/>
      <c r="F6" s="1"/>
      <c r="G6" s="1"/>
      <c r="H6" s="1"/>
      <c r="I6" s="1"/>
      <c r="J6" s="34"/>
    </row>
    <row r="12" spans="1:27" x14ac:dyDescent="0.2">
      <c r="C12">
        <f>1000/C13</f>
        <v>8.3333333333333329E-2</v>
      </c>
      <c r="D12">
        <f t="shared" ref="D12:M12" si="0">1000/D13</f>
        <v>0.16666666666666666</v>
      </c>
      <c r="E12">
        <f t="shared" si="0"/>
        <v>0.33333333333333331</v>
      </c>
      <c r="F12">
        <f t="shared" si="0"/>
        <v>0.66666666666666663</v>
      </c>
      <c r="G12">
        <f t="shared" si="0"/>
        <v>1.3333333333333333</v>
      </c>
      <c r="H12">
        <f t="shared" si="0"/>
        <v>2.6666666666666665</v>
      </c>
      <c r="I12">
        <f t="shared" si="0"/>
        <v>5.3475935828877006</v>
      </c>
      <c r="J12">
        <f t="shared" si="0"/>
        <v>10.75268817204301</v>
      </c>
      <c r="K12">
        <f t="shared" si="0"/>
        <v>21.739130434782609</v>
      </c>
      <c r="L12">
        <f t="shared" si="0"/>
        <v>43.478260869565219</v>
      </c>
      <c r="M12">
        <f t="shared" si="0"/>
        <v>90.909090909090907</v>
      </c>
      <c r="N12" t="s">
        <v>150</v>
      </c>
    </row>
    <row r="13" spans="1:27" x14ac:dyDescent="0.2">
      <c r="C13">
        <v>12000</v>
      </c>
      <c r="D13">
        <v>6000</v>
      </c>
      <c r="E13">
        <v>3000</v>
      </c>
      <c r="F13">
        <v>1500</v>
      </c>
      <c r="G13">
        <v>750</v>
      </c>
      <c r="H13">
        <v>375</v>
      </c>
      <c r="I13">
        <v>187</v>
      </c>
      <c r="J13">
        <v>93</v>
      </c>
      <c r="K13">
        <v>46</v>
      </c>
      <c r="L13">
        <v>23</v>
      </c>
      <c r="M13">
        <v>11</v>
      </c>
      <c r="Q13">
        <v>12000</v>
      </c>
      <c r="R13">
        <v>6000</v>
      </c>
      <c r="S13">
        <v>3000</v>
      </c>
      <c r="T13">
        <v>1500</v>
      </c>
      <c r="U13">
        <v>750</v>
      </c>
      <c r="V13">
        <v>375</v>
      </c>
      <c r="W13">
        <v>187</v>
      </c>
      <c r="X13">
        <v>93</v>
      </c>
      <c r="Y13">
        <v>46</v>
      </c>
      <c r="Z13">
        <v>23</v>
      </c>
      <c r="AA13">
        <v>11</v>
      </c>
    </row>
    <row r="14" spans="1:27" x14ac:dyDescent="0.2">
      <c r="A14" s="60">
        <v>162.72679199999999</v>
      </c>
      <c r="B14" t="s">
        <v>141</v>
      </c>
      <c r="C14">
        <v>17.240939999999998</v>
      </c>
      <c r="D14">
        <v>34.381217999999997</v>
      </c>
      <c r="E14">
        <v>68.823221000000004</v>
      </c>
      <c r="F14">
        <v>137.44913500000001</v>
      </c>
      <c r="G14">
        <v>275.12698799999998</v>
      </c>
      <c r="H14">
        <v>551.00399800000002</v>
      </c>
      <c r="I14">
        <v>1105.600645</v>
      </c>
      <c r="J14">
        <v>2226.9634959999999</v>
      </c>
      <c r="K14">
        <v>4497.2091360000004</v>
      </c>
      <c r="L14">
        <v>9012.1736000000001</v>
      </c>
      <c r="M14">
        <v>18794.947606000002</v>
      </c>
      <c r="N14" t="s">
        <v>149</v>
      </c>
      <c r="O14" s="60">
        <v>96.918526999999997</v>
      </c>
      <c r="P14" t="s">
        <v>145</v>
      </c>
      <c r="Q14">
        <v>17.240939999999998</v>
      </c>
      <c r="R14">
        <v>34.381217999999997</v>
      </c>
      <c r="S14">
        <v>68.823221000000004</v>
      </c>
      <c r="T14">
        <v>137.44913500000001</v>
      </c>
      <c r="U14">
        <v>275.12698799999998</v>
      </c>
      <c r="V14">
        <v>551.00399800000002</v>
      </c>
      <c r="W14">
        <v>1105.600645</v>
      </c>
      <c r="X14">
        <v>2226.9634959999999</v>
      </c>
      <c r="Y14">
        <v>4497.2091360000004</v>
      </c>
      <c r="Z14">
        <v>9012.1736000000001</v>
      </c>
      <c r="AA14">
        <v>18794.947606000002</v>
      </c>
    </row>
    <row r="15" spans="1:27" x14ac:dyDescent="0.2">
      <c r="B15" t="s">
        <v>47</v>
      </c>
      <c r="C15">
        <v>79.006017</v>
      </c>
      <c r="D15">
        <v>70.482943000000006</v>
      </c>
      <c r="E15">
        <v>53.277242000000001</v>
      </c>
      <c r="F15">
        <v>18.233857</v>
      </c>
      <c r="G15">
        <v>1.328756</v>
      </c>
      <c r="H15">
        <v>2.6682510000000002</v>
      </c>
      <c r="I15">
        <v>5.3498710000000003</v>
      </c>
      <c r="J15">
        <v>10.696721</v>
      </c>
      <c r="K15">
        <v>21.782475000000002</v>
      </c>
      <c r="L15">
        <v>43.166635999999997</v>
      </c>
      <c r="M15">
        <v>91.110909000000007</v>
      </c>
      <c r="P15" t="s">
        <v>47</v>
      </c>
      <c r="Q15">
        <v>2.3159689999999999</v>
      </c>
      <c r="R15">
        <v>0.16663700000000001</v>
      </c>
      <c r="S15">
        <v>0.332951</v>
      </c>
      <c r="T15">
        <v>0.66495400000000005</v>
      </c>
      <c r="U15">
        <v>1.3300289999999999</v>
      </c>
      <c r="V15">
        <v>2.662029</v>
      </c>
      <c r="W15">
        <v>5.3371510000000004</v>
      </c>
      <c r="X15">
        <v>10.728479999999999</v>
      </c>
      <c r="Y15">
        <v>21.748139999999999</v>
      </c>
      <c r="Z15">
        <v>43.492747999999999</v>
      </c>
      <c r="AA15">
        <v>90.858345</v>
      </c>
    </row>
    <row r="16" spans="1:27" x14ac:dyDescent="0.2">
      <c r="B16" t="s">
        <v>35</v>
      </c>
      <c r="C16">
        <v>87.029683000000006</v>
      </c>
      <c r="D16">
        <v>71.009989000000004</v>
      </c>
      <c r="E16">
        <v>53.660183000000004</v>
      </c>
      <c r="F16">
        <v>19.104274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P16" t="s">
        <v>35</v>
      </c>
      <c r="Q16" s="60">
        <v>2.35575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B17" t="s">
        <v>36</v>
      </c>
      <c r="P17" t="s">
        <v>36</v>
      </c>
    </row>
    <row r="19" spans="1:27" x14ac:dyDescent="0.2">
      <c r="A19" s="60">
        <v>210.14318499999999</v>
      </c>
      <c r="B19" t="s">
        <v>142</v>
      </c>
      <c r="C19">
        <v>17.240939999999998</v>
      </c>
      <c r="D19">
        <v>34.381217999999997</v>
      </c>
      <c r="E19">
        <v>68.823221000000004</v>
      </c>
      <c r="F19">
        <v>137.44913500000001</v>
      </c>
      <c r="G19">
        <v>275.12698799999998</v>
      </c>
      <c r="H19">
        <v>551.00399800000002</v>
      </c>
      <c r="I19">
        <v>1105.600645</v>
      </c>
      <c r="J19">
        <v>2226.9634959999999</v>
      </c>
      <c r="K19">
        <v>4497.2091360000004</v>
      </c>
      <c r="L19">
        <v>9012.1736000000001</v>
      </c>
      <c r="M19">
        <v>18794.947606000002</v>
      </c>
      <c r="O19" s="60">
        <v>15.334237999999999</v>
      </c>
      <c r="P19" t="s">
        <v>146</v>
      </c>
      <c r="Q19">
        <v>17.240939999999998</v>
      </c>
      <c r="R19">
        <v>34.381217999999997</v>
      </c>
      <c r="S19">
        <v>68.823221000000004</v>
      </c>
      <c r="T19">
        <v>137.44913500000001</v>
      </c>
      <c r="U19">
        <v>275.12698799999998</v>
      </c>
      <c r="V19">
        <v>551.00399800000002</v>
      </c>
      <c r="W19">
        <v>1105.600645</v>
      </c>
      <c r="X19">
        <v>2226.9634959999999</v>
      </c>
      <c r="Y19">
        <v>4497.2091360000004</v>
      </c>
      <c r="Z19">
        <v>9012.1736000000001</v>
      </c>
      <c r="AA19">
        <v>18794.947606000002</v>
      </c>
    </row>
    <row r="20" spans="1:27" x14ac:dyDescent="0.2">
      <c r="B20" t="s">
        <v>47</v>
      </c>
      <c r="C20">
        <v>119.700283</v>
      </c>
      <c r="D20">
        <v>102.50701599999999</v>
      </c>
      <c r="E20">
        <v>85.160597999999993</v>
      </c>
      <c r="F20">
        <v>51.296700999999999</v>
      </c>
      <c r="G20">
        <v>1.331701</v>
      </c>
      <c r="H20">
        <v>2.653273</v>
      </c>
      <c r="I20">
        <v>5.358047</v>
      </c>
      <c r="J20">
        <v>10.765135000000001</v>
      </c>
      <c r="K20">
        <v>21.647725999999999</v>
      </c>
      <c r="L20">
        <v>43.376137</v>
      </c>
      <c r="M20">
        <v>91.148883999999995</v>
      </c>
      <c r="P20" t="s">
        <v>47</v>
      </c>
      <c r="Q20">
        <v>8.3443000000000003E-2</v>
      </c>
      <c r="R20">
        <v>0.166273</v>
      </c>
      <c r="S20">
        <v>0.33260899999999999</v>
      </c>
      <c r="T20">
        <v>0.66594399999999998</v>
      </c>
      <c r="U20">
        <v>1.3299669999999999</v>
      </c>
      <c r="V20">
        <v>2.6619510000000002</v>
      </c>
      <c r="W20">
        <v>5.3353830000000002</v>
      </c>
      <c r="X20">
        <v>10.749865</v>
      </c>
      <c r="Y20">
        <v>21.681743999999998</v>
      </c>
      <c r="Z20">
        <v>43.424469000000002</v>
      </c>
      <c r="AA20">
        <v>90.886071000000001</v>
      </c>
    </row>
    <row r="21" spans="1:27" x14ac:dyDescent="0.2">
      <c r="B21" t="s">
        <v>35</v>
      </c>
      <c r="C21">
        <v>136.95132899999999</v>
      </c>
      <c r="D21">
        <v>119.28515</v>
      </c>
      <c r="E21">
        <v>102.138064</v>
      </c>
      <c r="F21">
        <v>67.108435</v>
      </c>
      <c r="G21">
        <v>0.75508299999999995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P21" t="s">
        <v>35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4" spans="1:27" x14ac:dyDescent="0.2">
      <c r="A24" s="60">
        <v>11300.202034</v>
      </c>
      <c r="B24" t="s">
        <v>143</v>
      </c>
      <c r="C24">
        <v>17.240939999999998</v>
      </c>
      <c r="D24">
        <v>34.381217999999997</v>
      </c>
      <c r="E24">
        <v>68.823221000000004</v>
      </c>
      <c r="F24">
        <v>137.44913500000001</v>
      </c>
      <c r="G24">
        <v>275.12698799999998</v>
      </c>
      <c r="H24">
        <v>551.00399800000002</v>
      </c>
      <c r="I24">
        <v>1105.600645</v>
      </c>
      <c r="J24">
        <v>2226.9634959999999</v>
      </c>
      <c r="K24">
        <v>4497.2091360000004</v>
      </c>
      <c r="L24">
        <v>9012.1736000000001</v>
      </c>
      <c r="M24">
        <v>18794.947606000002</v>
      </c>
      <c r="O24" s="60">
        <v>309.34289999999999</v>
      </c>
      <c r="P24" t="s">
        <v>147</v>
      </c>
      <c r="Q24">
        <v>17.240939999999998</v>
      </c>
      <c r="R24">
        <v>34.381217999999997</v>
      </c>
      <c r="S24">
        <v>68.823221000000004</v>
      </c>
      <c r="T24">
        <v>137.44913500000001</v>
      </c>
      <c r="U24">
        <v>275.12698799999998</v>
      </c>
      <c r="V24">
        <v>551.00399800000002</v>
      </c>
      <c r="W24">
        <v>1105.600645</v>
      </c>
      <c r="X24">
        <v>2226.9634959999999</v>
      </c>
      <c r="Y24">
        <v>4497.2091360000004</v>
      </c>
      <c r="Z24">
        <v>9012.1736000000001</v>
      </c>
      <c r="AA24">
        <v>18794.947606000002</v>
      </c>
    </row>
    <row r="25" spans="1:27" x14ac:dyDescent="0.2">
      <c r="B25" t="s">
        <v>47</v>
      </c>
      <c r="C25">
        <v>12152.996569000001</v>
      </c>
      <c r="D25">
        <v>12060.765244</v>
      </c>
      <c r="E25">
        <v>12114.901771999999</v>
      </c>
      <c r="F25">
        <v>12102.013832000001</v>
      </c>
      <c r="G25">
        <v>12105.261253000001</v>
      </c>
      <c r="H25">
        <v>11967.901985</v>
      </c>
      <c r="I25">
        <v>11689.907899</v>
      </c>
      <c r="J25">
        <v>11128.783423999999</v>
      </c>
      <c r="K25">
        <v>9996.3894560000008</v>
      </c>
      <c r="L25">
        <v>7823.5649880000001</v>
      </c>
      <c r="M25">
        <v>2974.5314210000001</v>
      </c>
      <c r="P25" t="s">
        <v>47</v>
      </c>
      <c r="Q25">
        <v>103.234816</v>
      </c>
      <c r="R25">
        <v>57.323940999999998</v>
      </c>
      <c r="S25">
        <v>0.340638</v>
      </c>
      <c r="T25">
        <v>0.66592799999999996</v>
      </c>
      <c r="U25">
        <v>1.3314870000000001</v>
      </c>
      <c r="V25">
        <v>2.6663030000000001</v>
      </c>
      <c r="W25">
        <v>5.3509419999999999</v>
      </c>
      <c r="X25">
        <v>10.746475</v>
      </c>
      <c r="Y25">
        <v>21.744626</v>
      </c>
      <c r="Z25">
        <v>43.417234000000001</v>
      </c>
      <c r="AA25">
        <v>90.825083000000006</v>
      </c>
    </row>
    <row r="26" spans="1:27" x14ac:dyDescent="0.2">
      <c r="B26" t="s">
        <v>35</v>
      </c>
      <c r="C26">
        <v>11017.67973</v>
      </c>
      <c r="D26">
        <v>11075.430041</v>
      </c>
      <c r="E26">
        <v>11134.74014</v>
      </c>
      <c r="F26">
        <v>11521.060147</v>
      </c>
      <c r="G26">
        <v>11119.63241</v>
      </c>
      <c r="H26">
        <v>10982.692295000001</v>
      </c>
      <c r="I26">
        <v>11256.077904</v>
      </c>
      <c r="J26">
        <v>10221.765918999999</v>
      </c>
      <c r="K26">
        <v>9059.5129099999995</v>
      </c>
      <c r="L26">
        <v>6796.9277350000002</v>
      </c>
      <c r="M26">
        <v>1913.069068</v>
      </c>
      <c r="P26" t="s">
        <v>35</v>
      </c>
      <c r="Q26">
        <v>113.95848599999999</v>
      </c>
      <c r="R26">
        <v>67.552701999999996</v>
      </c>
      <c r="S26">
        <v>1.6620000000000001E-3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9" spans="1:27" x14ac:dyDescent="0.2">
      <c r="A29" s="60">
        <v>2.9128959999999999</v>
      </c>
      <c r="B29" t="s">
        <v>144</v>
      </c>
      <c r="C29">
        <v>17.240939999999998</v>
      </c>
      <c r="D29">
        <v>34.381217999999997</v>
      </c>
      <c r="E29">
        <v>68.823221000000004</v>
      </c>
      <c r="F29">
        <v>137.44913500000001</v>
      </c>
      <c r="G29">
        <v>275.12698799999998</v>
      </c>
      <c r="H29">
        <v>551.00399800000002</v>
      </c>
      <c r="I29">
        <v>1105.600645</v>
      </c>
      <c r="J29">
        <v>2226.9634959999999</v>
      </c>
      <c r="K29">
        <v>4497.2091360000004</v>
      </c>
      <c r="L29">
        <v>9012.1736000000001</v>
      </c>
      <c r="M29">
        <v>18794.947606000002</v>
      </c>
      <c r="O29" s="60">
        <v>5.2492270000000003</v>
      </c>
      <c r="P29" t="s">
        <v>148</v>
      </c>
      <c r="Q29">
        <v>17.240939999999998</v>
      </c>
      <c r="R29">
        <v>34.381217999999997</v>
      </c>
      <c r="S29">
        <v>68.823221000000004</v>
      </c>
      <c r="T29">
        <v>137.44913500000001</v>
      </c>
      <c r="U29">
        <v>275.12698799999998</v>
      </c>
      <c r="V29">
        <v>551.00399800000002</v>
      </c>
      <c r="W29">
        <v>1105.600645</v>
      </c>
      <c r="X29">
        <v>2226.9634959999999</v>
      </c>
      <c r="Y29">
        <v>4497.2091360000004</v>
      </c>
      <c r="Z29">
        <v>9012.1736000000001</v>
      </c>
      <c r="AA29">
        <v>18794.947606000002</v>
      </c>
    </row>
    <row r="30" spans="1:27" x14ac:dyDescent="0.2">
      <c r="B30" t="s">
        <v>47</v>
      </c>
      <c r="C30">
        <v>8.3155000000000007E-2</v>
      </c>
      <c r="D30">
        <v>0.166432</v>
      </c>
      <c r="E30">
        <v>0.33214500000000002</v>
      </c>
      <c r="F30">
        <v>0.66568400000000005</v>
      </c>
      <c r="G30">
        <v>1.334743</v>
      </c>
      <c r="H30">
        <v>2.6614930000000001</v>
      </c>
      <c r="I30">
        <v>5.3379079999999997</v>
      </c>
      <c r="J30">
        <v>10.761996</v>
      </c>
      <c r="K30">
        <v>21.609176999999999</v>
      </c>
      <c r="L30">
        <v>43.508674999999997</v>
      </c>
      <c r="M30">
        <v>90.524934999999999</v>
      </c>
      <c r="P30" t="s">
        <v>47</v>
      </c>
      <c r="Q30">
        <v>8.3330000000000001E-2</v>
      </c>
      <c r="R30">
        <v>0.16669100000000001</v>
      </c>
      <c r="S30">
        <v>0.33259899999999998</v>
      </c>
      <c r="T30">
        <v>0.66745100000000002</v>
      </c>
      <c r="U30">
        <v>1.3333280000000001</v>
      </c>
      <c r="V30">
        <v>2.6674349999999998</v>
      </c>
      <c r="W30">
        <v>5.3538639999999997</v>
      </c>
      <c r="X30">
        <v>10.752931</v>
      </c>
      <c r="Y30">
        <v>21.713405000000002</v>
      </c>
      <c r="Z30">
        <v>43.450260999999998</v>
      </c>
      <c r="AA30">
        <v>90.845558999999994</v>
      </c>
    </row>
    <row r="31" spans="1:27" x14ac:dyDescent="0.2"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P31" t="s">
        <v>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0D13-445F-4248-97CF-9069F411FFC3}">
  <dimension ref="A5:M40"/>
  <sheetViews>
    <sheetView zoomScale="75" workbookViewId="0">
      <selection activeCell="A13" sqref="A13:F19"/>
    </sheetView>
  </sheetViews>
  <sheetFormatPr baseColWidth="10" defaultColWidth="11" defaultRowHeight="16" x14ac:dyDescent="0.2"/>
  <cols>
    <col min="1" max="1" width="20.5" customWidth="1"/>
    <col min="3" max="3" width="19.5" customWidth="1"/>
    <col min="4" max="4" width="20" customWidth="1"/>
    <col min="5" max="5" width="24.83203125" customWidth="1"/>
    <col min="8" max="8" width="22.83203125" customWidth="1"/>
    <col min="11" max="11" width="12.6640625" customWidth="1"/>
  </cols>
  <sheetData>
    <row r="5" spans="1:13" x14ac:dyDescent="0.2">
      <c r="B5">
        <v>17</v>
      </c>
      <c r="C5">
        <v>2.5</v>
      </c>
      <c r="D5">
        <v>3.5</v>
      </c>
      <c r="E5">
        <v>3.5</v>
      </c>
      <c r="F5">
        <v>68</v>
      </c>
    </row>
    <row r="6" spans="1:13" x14ac:dyDescent="0.2">
      <c r="B6">
        <v>1.8</v>
      </c>
      <c r="C6">
        <v>3.2</v>
      </c>
      <c r="D6">
        <v>3.5</v>
      </c>
      <c r="E6">
        <v>3.5</v>
      </c>
      <c r="F6">
        <v>4.2</v>
      </c>
    </row>
    <row r="7" spans="1:13" x14ac:dyDescent="0.2">
      <c r="B7">
        <v>1.7</v>
      </c>
      <c r="C7">
        <v>3.1</v>
      </c>
      <c r="D7">
        <v>3.9</v>
      </c>
      <c r="E7">
        <v>3.9</v>
      </c>
      <c r="F7">
        <v>4.0999999999999996</v>
      </c>
    </row>
    <row r="8" spans="1:13" x14ac:dyDescent="0.2">
      <c r="B8">
        <v>2.6</v>
      </c>
      <c r="C8">
        <v>2.9</v>
      </c>
      <c r="D8">
        <v>3.7</v>
      </c>
      <c r="E8">
        <v>3.7</v>
      </c>
      <c r="F8">
        <v>4.5999999999999996</v>
      </c>
    </row>
    <row r="9" spans="1:13" x14ac:dyDescent="0.2">
      <c r="B9">
        <v>2.5</v>
      </c>
      <c r="C9">
        <v>2.7</v>
      </c>
      <c r="D9">
        <v>3.6</v>
      </c>
      <c r="E9">
        <v>3.6</v>
      </c>
      <c r="F9">
        <v>4.5</v>
      </c>
    </row>
    <row r="10" spans="1:13" x14ac:dyDescent="0.2">
      <c r="B10">
        <v>2.5</v>
      </c>
      <c r="C10">
        <v>2.7</v>
      </c>
      <c r="D10">
        <v>3.8</v>
      </c>
      <c r="E10">
        <v>3.8</v>
      </c>
      <c r="F10">
        <v>4.4000000000000004</v>
      </c>
    </row>
    <row r="13" spans="1:13" x14ac:dyDescent="0.2">
      <c r="A13" t="s">
        <v>116</v>
      </c>
      <c r="B13" t="s">
        <v>100</v>
      </c>
      <c r="C13" t="s">
        <v>113</v>
      </c>
      <c r="D13" t="s">
        <v>114</v>
      </c>
      <c r="E13" t="s">
        <v>121</v>
      </c>
      <c r="F13" t="s">
        <v>115</v>
      </c>
      <c r="H13" t="s">
        <v>120</v>
      </c>
      <c r="I13" t="s">
        <v>100</v>
      </c>
      <c r="J13" t="s">
        <v>113</v>
      </c>
      <c r="K13" t="s">
        <v>114</v>
      </c>
      <c r="L13" t="s">
        <v>121</v>
      </c>
      <c r="M13" t="s">
        <v>115</v>
      </c>
    </row>
    <row r="14" spans="1:13" x14ac:dyDescent="0.2">
      <c r="A14" t="s">
        <v>32</v>
      </c>
      <c r="B14">
        <v>1.9</v>
      </c>
      <c r="C14">
        <v>2.5</v>
      </c>
      <c r="D14">
        <v>3.5</v>
      </c>
      <c r="E14">
        <v>3.5</v>
      </c>
      <c r="F14">
        <v>4.3</v>
      </c>
      <c r="H14" t="s">
        <v>32</v>
      </c>
      <c r="I14">
        <v>1</v>
      </c>
      <c r="J14">
        <v>1.4</v>
      </c>
      <c r="K14">
        <v>2.7</v>
      </c>
      <c r="L14">
        <v>3.7</v>
      </c>
      <c r="M14">
        <v>4.0999999999999996</v>
      </c>
    </row>
    <row r="15" spans="1:13" x14ac:dyDescent="0.2">
      <c r="A15" t="s">
        <v>9</v>
      </c>
      <c r="B15">
        <v>1.8</v>
      </c>
      <c r="C15">
        <v>3.2</v>
      </c>
      <c r="D15">
        <v>3.5</v>
      </c>
      <c r="E15">
        <v>3.5</v>
      </c>
      <c r="F15">
        <v>4.2</v>
      </c>
      <c r="H15" t="s">
        <v>9</v>
      </c>
      <c r="I15">
        <v>1</v>
      </c>
      <c r="J15">
        <v>2.7</v>
      </c>
      <c r="K15">
        <v>3.5</v>
      </c>
      <c r="L15">
        <v>4.5</v>
      </c>
      <c r="M15">
        <v>4.8</v>
      </c>
    </row>
    <row r="16" spans="1:13" x14ac:dyDescent="0.2">
      <c r="A16" t="s">
        <v>5</v>
      </c>
      <c r="B16">
        <v>1.7</v>
      </c>
      <c r="C16">
        <v>3.1</v>
      </c>
      <c r="D16">
        <v>3.9</v>
      </c>
      <c r="E16">
        <v>3.9</v>
      </c>
      <c r="F16">
        <v>4.0999999999999996</v>
      </c>
      <c r="H16" t="s">
        <v>5</v>
      </c>
      <c r="I16">
        <v>1</v>
      </c>
      <c r="J16">
        <v>2.5</v>
      </c>
      <c r="K16">
        <v>3.9</v>
      </c>
      <c r="L16">
        <v>4.9000000000000004</v>
      </c>
      <c r="M16">
        <v>5.2</v>
      </c>
    </row>
    <row r="17" spans="1:13" x14ac:dyDescent="0.2">
      <c r="A17" t="s">
        <v>33</v>
      </c>
      <c r="B17">
        <v>2.6</v>
      </c>
      <c r="C17">
        <v>2.9</v>
      </c>
      <c r="D17">
        <v>3.7</v>
      </c>
      <c r="E17">
        <v>3.7</v>
      </c>
      <c r="F17">
        <v>4.5999999999999996</v>
      </c>
      <c r="H17" t="s">
        <v>33</v>
      </c>
      <c r="I17">
        <v>1</v>
      </c>
      <c r="J17">
        <v>1.3</v>
      </c>
      <c r="K17">
        <v>2.2000000000000002</v>
      </c>
      <c r="L17">
        <v>3.3</v>
      </c>
      <c r="M17">
        <v>5.0999999999999996</v>
      </c>
    </row>
    <row r="18" spans="1:13" x14ac:dyDescent="0.2">
      <c r="A18" t="s">
        <v>118</v>
      </c>
      <c r="B18">
        <v>2.5</v>
      </c>
      <c r="C18">
        <v>2.7</v>
      </c>
      <c r="D18">
        <v>3.6</v>
      </c>
      <c r="E18">
        <v>3.6</v>
      </c>
      <c r="F18">
        <v>4.5</v>
      </c>
      <c r="L18">
        <f>L14/K14</f>
        <v>1.3703703703703702</v>
      </c>
    </row>
    <row r="19" spans="1:13" x14ac:dyDescent="0.2">
      <c r="A19" t="s">
        <v>14</v>
      </c>
      <c r="B19">
        <v>2.5</v>
      </c>
      <c r="C19">
        <v>2.7</v>
      </c>
      <c r="D19">
        <v>3.8</v>
      </c>
      <c r="E19">
        <v>3.8</v>
      </c>
      <c r="F19">
        <v>4.4000000000000004</v>
      </c>
      <c r="L19">
        <f t="shared" ref="L19:L22" si="0">L15/K15</f>
        <v>1.2857142857142858</v>
      </c>
    </row>
    <row r="20" spans="1:13" x14ac:dyDescent="0.2">
      <c r="C20">
        <f>C14/B14</f>
        <v>1.3157894736842106</v>
      </c>
      <c r="D20">
        <f>D14/C14</f>
        <v>1.4</v>
      </c>
      <c r="F20">
        <f>F14/E14</f>
        <v>1.2285714285714284</v>
      </c>
      <c r="L20">
        <f t="shared" si="0"/>
        <v>1.2564102564102566</v>
      </c>
    </row>
    <row r="21" spans="1:13" x14ac:dyDescent="0.2">
      <c r="C21">
        <f t="shared" ref="C21:D24" si="1">C15/B15</f>
        <v>1.7777777777777779</v>
      </c>
      <c r="D21">
        <f t="shared" si="1"/>
        <v>1.09375</v>
      </c>
      <c r="F21">
        <f t="shared" ref="F21:F24" si="2">F15/E15</f>
        <v>1.2</v>
      </c>
      <c r="L21">
        <f t="shared" si="0"/>
        <v>1.4999999999999998</v>
      </c>
    </row>
    <row r="22" spans="1:13" x14ac:dyDescent="0.2">
      <c r="C22">
        <f t="shared" si="1"/>
        <v>1.8235294117647061</v>
      </c>
      <c r="D22">
        <f t="shared" si="1"/>
        <v>1.2580645161290323</v>
      </c>
      <c r="F22">
        <f t="shared" si="2"/>
        <v>1.0512820512820513</v>
      </c>
      <c r="L22" t="e">
        <f t="shared" si="0"/>
        <v>#DIV/0!</v>
      </c>
    </row>
    <row r="23" spans="1:13" x14ac:dyDescent="0.2">
      <c r="C23">
        <f t="shared" si="1"/>
        <v>1.1153846153846154</v>
      </c>
      <c r="D23">
        <f t="shared" si="1"/>
        <v>1.2758620689655173</v>
      </c>
      <c r="F23">
        <f t="shared" si="2"/>
        <v>1.243243243243243</v>
      </c>
    </row>
    <row r="24" spans="1:13" x14ac:dyDescent="0.2">
      <c r="C24">
        <f t="shared" si="1"/>
        <v>1.08</v>
      </c>
      <c r="D24">
        <f t="shared" si="1"/>
        <v>1.3333333333333333</v>
      </c>
      <c r="F24">
        <f t="shared" si="2"/>
        <v>1.25</v>
      </c>
    </row>
    <row r="25" spans="1:13" x14ac:dyDescent="0.2">
      <c r="C25">
        <f>C19/B19</f>
        <v>1.08</v>
      </c>
      <c r="D25">
        <f t="shared" ref="D25" si="3">D19/C19</f>
        <v>1.4074074074074072</v>
      </c>
    </row>
    <row r="26" spans="1:13" x14ac:dyDescent="0.2">
      <c r="A26" t="s">
        <v>117</v>
      </c>
      <c r="B26" t="s">
        <v>100</v>
      </c>
      <c r="C26" t="s">
        <v>113</v>
      </c>
      <c r="D26" t="s">
        <v>114</v>
      </c>
      <c r="E26" t="s">
        <v>121</v>
      </c>
      <c r="F26" t="s">
        <v>115</v>
      </c>
      <c r="H26" t="s">
        <v>119</v>
      </c>
      <c r="I26" t="s">
        <v>100</v>
      </c>
      <c r="J26" t="s">
        <v>113</v>
      </c>
      <c r="K26" t="s">
        <v>114</v>
      </c>
      <c r="L26" t="s">
        <v>121</v>
      </c>
      <c r="M26" t="s">
        <v>115</v>
      </c>
    </row>
    <row r="27" spans="1:13" x14ac:dyDescent="0.2">
      <c r="A27" t="s">
        <v>32</v>
      </c>
      <c r="B27">
        <v>1.8</v>
      </c>
      <c r="C27">
        <v>2.4</v>
      </c>
      <c r="D27">
        <v>4.0999999999999996</v>
      </c>
      <c r="E27">
        <v>4.0999999999999996</v>
      </c>
      <c r="F27">
        <v>4.5999999999999996</v>
      </c>
      <c r="H27" t="s">
        <v>32</v>
      </c>
      <c r="I27">
        <v>1</v>
      </c>
      <c r="J27">
        <v>1.3</v>
      </c>
      <c r="K27">
        <v>2.1</v>
      </c>
      <c r="L27">
        <v>4.0999999999999996</v>
      </c>
      <c r="M27">
        <v>5.2</v>
      </c>
    </row>
    <row r="28" spans="1:13" x14ac:dyDescent="0.2">
      <c r="A28" t="s">
        <v>9</v>
      </c>
      <c r="B28">
        <v>1.9</v>
      </c>
      <c r="C28">
        <v>2.8</v>
      </c>
      <c r="D28">
        <v>4.3</v>
      </c>
      <c r="E28">
        <v>4.3</v>
      </c>
      <c r="F28">
        <v>4.5</v>
      </c>
      <c r="H28" t="s">
        <v>9</v>
      </c>
      <c r="I28">
        <v>1</v>
      </c>
      <c r="J28">
        <v>2.1</v>
      </c>
      <c r="K28">
        <v>3.1</v>
      </c>
      <c r="L28">
        <v>5.3</v>
      </c>
      <c r="M28">
        <v>6.1</v>
      </c>
    </row>
    <row r="29" spans="1:13" x14ac:dyDescent="0.2">
      <c r="A29" t="s">
        <v>5</v>
      </c>
      <c r="B29">
        <v>1.7</v>
      </c>
      <c r="C29">
        <v>2.9</v>
      </c>
      <c r="D29">
        <v>4.4000000000000004</v>
      </c>
      <c r="E29">
        <v>4.4000000000000004</v>
      </c>
      <c r="F29">
        <v>4.5</v>
      </c>
      <c r="H29" t="s">
        <v>5</v>
      </c>
      <c r="I29">
        <v>1</v>
      </c>
      <c r="J29">
        <v>2.2999999999999998</v>
      </c>
      <c r="K29">
        <v>2.6</v>
      </c>
      <c r="L29">
        <v>5.4</v>
      </c>
      <c r="M29">
        <v>6.5</v>
      </c>
    </row>
    <row r="30" spans="1:13" x14ac:dyDescent="0.2">
      <c r="A30" t="s">
        <v>33</v>
      </c>
      <c r="B30">
        <v>2.6</v>
      </c>
      <c r="C30">
        <v>2.6</v>
      </c>
      <c r="D30">
        <v>3.9</v>
      </c>
      <c r="E30">
        <v>3.9</v>
      </c>
      <c r="F30">
        <v>4.4000000000000004</v>
      </c>
      <c r="H30" t="s">
        <v>33</v>
      </c>
      <c r="I30">
        <v>1</v>
      </c>
      <c r="J30">
        <v>1.2</v>
      </c>
      <c r="K30">
        <v>2.9</v>
      </c>
      <c r="L30">
        <v>4.9000000000000004</v>
      </c>
      <c r="M30">
        <v>5.9</v>
      </c>
    </row>
    <row r="31" spans="1:13" x14ac:dyDescent="0.2">
      <c r="A31" t="s">
        <v>118</v>
      </c>
      <c r="B31">
        <v>2.7</v>
      </c>
      <c r="C31">
        <v>2.7</v>
      </c>
      <c r="D31">
        <v>4</v>
      </c>
      <c r="E31">
        <v>4</v>
      </c>
      <c r="F31">
        <v>4.2</v>
      </c>
      <c r="L31">
        <f>L27/K27</f>
        <v>1.9523809523809521</v>
      </c>
    </row>
    <row r="32" spans="1:13" x14ac:dyDescent="0.2">
      <c r="A32" t="s">
        <v>14</v>
      </c>
      <c r="B32">
        <v>3.1</v>
      </c>
      <c r="C32">
        <v>3.1</v>
      </c>
      <c r="D32">
        <v>4.2</v>
      </c>
      <c r="E32">
        <v>4.2</v>
      </c>
      <c r="F32">
        <v>4.8</v>
      </c>
      <c r="L32">
        <f t="shared" ref="L32:L35" si="4">L28/K28</f>
        <v>1.7096774193548385</v>
      </c>
    </row>
    <row r="33" spans="3:12" x14ac:dyDescent="0.2">
      <c r="L33">
        <f t="shared" si="4"/>
        <v>2.0769230769230771</v>
      </c>
    </row>
    <row r="34" spans="3:12" x14ac:dyDescent="0.2">
      <c r="C34">
        <f>C27/B27</f>
        <v>1.3333333333333333</v>
      </c>
      <c r="D34">
        <f>D27/C27</f>
        <v>1.7083333333333333</v>
      </c>
      <c r="F34">
        <f>F28/E28</f>
        <v>1.0465116279069768</v>
      </c>
      <c r="L34">
        <f t="shared" si="4"/>
        <v>1.6896551724137934</v>
      </c>
    </row>
    <row r="35" spans="3:12" x14ac:dyDescent="0.2">
      <c r="C35">
        <f t="shared" ref="C35:C38" si="5">C28/B28</f>
        <v>1.4736842105263157</v>
      </c>
      <c r="D35">
        <f t="shared" ref="D35:D39" si="6">D28/C28</f>
        <v>1.5357142857142858</v>
      </c>
      <c r="F35">
        <f t="shared" ref="F35:F38" si="7">F29/E29</f>
        <v>1.0227272727272727</v>
      </c>
      <c r="L35" t="e">
        <f t="shared" si="4"/>
        <v>#DIV/0!</v>
      </c>
    </row>
    <row r="36" spans="3:12" x14ac:dyDescent="0.2">
      <c r="C36">
        <f t="shared" si="5"/>
        <v>1.7058823529411764</v>
      </c>
      <c r="D36">
        <f t="shared" si="6"/>
        <v>1.517241379310345</v>
      </c>
      <c r="F36">
        <f t="shared" si="7"/>
        <v>1.1282051282051284</v>
      </c>
    </row>
    <row r="37" spans="3:12" x14ac:dyDescent="0.2">
      <c r="C37">
        <f t="shared" si="5"/>
        <v>1</v>
      </c>
      <c r="D37">
        <f t="shared" si="6"/>
        <v>1.5</v>
      </c>
      <c r="F37">
        <f t="shared" si="7"/>
        <v>1.05</v>
      </c>
    </row>
    <row r="38" spans="3:12" x14ac:dyDescent="0.2">
      <c r="C38">
        <f t="shared" si="5"/>
        <v>1</v>
      </c>
      <c r="D38">
        <f t="shared" si="6"/>
        <v>1.4814814814814814</v>
      </c>
      <c r="F38">
        <f t="shared" si="7"/>
        <v>1.1428571428571428</v>
      </c>
    </row>
    <row r="39" spans="3:12" x14ac:dyDescent="0.2">
      <c r="D39">
        <f t="shared" si="6"/>
        <v>1.3548387096774195</v>
      </c>
    </row>
    <row r="40" spans="3:12" x14ac:dyDescent="0.2">
      <c r="D40" t="e">
        <f>D33/C33</f>
        <v>#DIV/0!</v>
      </c>
    </row>
  </sheetData>
  <phoneticPr fontId="6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3B41-2E20-CA4F-AD34-9308F4CEF4CA}">
  <dimension ref="A1:M21"/>
  <sheetViews>
    <sheetView workbookViewId="0">
      <selection activeCell="G22" sqref="G22"/>
    </sheetView>
  </sheetViews>
  <sheetFormatPr baseColWidth="10" defaultColWidth="11" defaultRowHeight="16" x14ac:dyDescent="0.2"/>
  <cols>
    <col min="5" max="5" width="13.1640625" customWidth="1"/>
  </cols>
  <sheetData>
    <row r="1" spans="1:13" x14ac:dyDescent="0.2">
      <c r="A1" t="s">
        <v>116</v>
      </c>
      <c r="B1" t="s">
        <v>100</v>
      </c>
      <c r="C1" t="s">
        <v>113</v>
      </c>
      <c r="D1" t="s">
        <v>114</v>
      </c>
      <c r="E1" t="s">
        <v>121</v>
      </c>
      <c r="F1" t="s">
        <v>115</v>
      </c>
      <c r="H1" t="s">
        <v>120</v>
      </c>
      <c r="I1" t="s">
        <v>100</v>
      </c>
      <c r="J1" t="s">
        <v>113</v>
      </c>
      <c r="K1" t="s">
        <v>114</v>
      </c>
      <c r="L1" t="s">
        <v>121</v>
      </c>
      <c r="M1" t="s">
        <v>115</v>
      </c>
    </row>
    <row r="2" spans="1:13" x14ac:dyDescent="0.2">
      <c r="A2" t="s">
        <v>32</v>
      </c>
      <c r="B2">
        <v>9</v>
      </c>
      <c r="C2">
        <v>13</v>
      </c>
      <c r="D2">
        <v>21</v>
      </c>
      <c r="E2">
        <v>32</v>
      </c>
      <c r="F2">
        <v>43</v>
      </c>
      <c r="H2" t="s">
        <v>32</v>
      </c>
      <c r="I2">
        <v>17</v>
      </c>
      <c r="J2">
        <v>22</v>
      </c>
      <c r="K2">
        <v>38</v>
      </c>
      <c r="L2">
        <v>54</v>
      </c>
      <c r="M2">
        <v>65</v>
      </c>
    </row>
    <row r="3" spans="1:13" x14ac:dyDescent="0.2">
      <c r="A3" t="s">
        <v>9</v>
      </c>
      <c r="B3">
        <v>10</v>
      </c>
      <c r="C3">
        <v>12</v>
      </c>
      <c r="D3">
        <v>27</v>
      </c>
      <c r="E3">
        <v>29</v>
      </c>
      <c r="F3">
        <v>46</v>
      </c>
      <c r="H3" t="s">
        <v>9</v>
      </c>
      <c r="I3">
        <v>18</v>
      </c>
      <c r="J3">
        <v>23</v>
      </c>
      <c r="K3">
        <v>32</v>
      </c>
      <c r="L3">
        <v>52</v>
      </c>
      <c r="M3">
        <v>67</v>
      </c>
    </row>
    <row r="4" spans="1:13" x14ac:dyDescent="0.2">
      <c r="A4" t="s">
        <v>5</v>
      </c>
      <c r="B4">
        <v>11</v>
      </c>
      <c r="C4">
        <v>15</v>
      </c>
      <c r="D4">
        <v>29</v>
      </c>
      <c r="E4">
        <v>29</v>
      </c>
      <c r="F4">
        <v>42</v>
      </c>
      <c r="H4" t="s">
        <v>5</v>
      </c>
      <c r="I4">
        <v>21</v>
      </c>
      <c r="J4">
        <v>21</v>
      </c>
      <c r="K4">
        <v>37</v>
      </c>
      <c r="L4">
        <v>51</v>
      </c>
      <c r="M4">
        <v>58</v>
      </c>
    </row>
    <row r="5" spans="1:13" x14ac:dyDescent="0.2">
      <c r="A5" t="s">
        <v>33</v>
      </c>
      <c r="B5">
        <v>21</v>
      </c>
      <c r="C5">
        <v>31</v>
      </c>
      <c r="D5">
        <v>51</v>
      </c>
      <c r="E5">
        <v>52</v>
      </c>
      <c r="F5">
        <v>71</v>
      </c>
      <c r="H5" t="s">
        <v>33</v>
      </c>
      <c r="I5">
        <v>16</v>
      </c>
      <c r="J5">
        <v>20</v>
      </c>
      <c r="K5">
        <v>41</v>
      </c>
      <c r="L5">
        <v>55</v>
      </c>
      <c r="M5">
        <v>69</v>
      </c>
    </row>
    <row r="6" spans="1:13" x14ac:dyDescent="0.2">
      <c r="A6" t="s">
        <v>118</v>
      </c>
      <c r="B6">
        <v>24</v>
      </c>
      <c r="C6">
        <v>38</v>
      </c>
      <c r="D6">
        <v>50</v>
      </c>
      <c r="E6">
        <v>54</v>
      </c>
      <c r="F6">
        <v>69</v>
      </c>
    </row>
    <row r="7" spans="1:13" x14ac:dyDescent="0.2">
      <c r="A7" t="s">
        <v>14</v>
      </c>
      <c r="B7">
        <v>19</v>
      </c>
      <c r="C7">
        <v>41</v>
      </c>
      <c r="D7">
        <v>48</v>
      </c>
      <c r="E7">
        <v>56</v>
      </c>
      <c r="F7">
        <v>67</v>
      </c>
    </row>
    <row r="14" spans="1:13" x14ac:dyDescent="0.2">
      <c r="A14" t="s">
        <v>117</v>
      </c>
      <c r="B14" t="s">
        <v>100</v>
      </c>
      <c r="C14" t="s">
        <v>113</v>
      </c>
      <c r="D14" t="s">
        <v>114</v>
      </c>
      <c r="E14" t="s">
        <v>121</v>
      </c>
      <c r="F14" t="s">
        <v>115</v>
      </c>
      <c r="H14" t="s">
        <v>119</v>
      </c>
      <c r="I14" t="s">
        <v>100</v>
      </c>
      <c r="J14" t="s">
        <v>113</v>
      </c>
      <c r="K14" t="s">
        <v>114</v>
      </c>
      <c r="L14" t="s">
        <v>121</v>
      </c>
      <c r="M14" t="s">
        <v>115</v>
      </c>
    </row>
    <row r="15" spans="1:13" x14ac:dyDescent="0.2">
      <c r="A15" t="s">
        <v>32</v>
      </c>
      <c r="B15">
        <v>9</v>
      </c>
      <c r="C15">
        <v>12</v>
      </c>
      <c r="D15">
        <v>19</v>
      </c>
      <c r="E15">
        <v>21</v>
      </c>
      <c r="F15">
        <v>38</v>
      </c>
      <c r="H15" t="s">
        <v>32</v>
      </c>
      <c r="I15">
        <v>16</v>
      </c>
      <c r="J15">
        <v>27</v>
      </c>
      <c r="K15">
        <v>48</v>
      </c>
      <c r="L15">
        <v>53</v>
      </c>
      <c r="M15">
        <v>66</v>
      </c>
    </row>
    <row r="16" spans="1:13" x14ac:dyDescent="0.2">
      <c r="A16" t="s">
        <v>9</v>
      </c>
      <c r="B16">
        <v>9</v>
      </c>
      <c r="C16">
        <v>11</v>
      </c>
      <c r="D16">
        <v>12</v>
      </c>
      <c r="E16">
        <v>21</v>
      </c>
      <c r="F16">
        <v>36</v>
      </c>
      <c r="H16" t="s">
        <v>9</v>
      </c>
      <c r="I16">
        <v>15</v>
      </c>
      <c r="J16">
        <v>28</v>
      </c>
      <c r="K16">
        <v>43</v>
      </c>
      <c r="L16">
        <v>52</v>
      </c>
      <c r="M16">
        <v>67</v>
      </c>
    </row>
    <row r="17" spans="1:13" x14ac:dyDescent="0.2">
      <c r="A17" t="s">
        <v>5</v>
      </c>
      <c r="B17">
        <v>11</v>
      </c>
      <c r="C17">
        <v>12</v>
      </c>
      <c r="D17">
        <v>14</v>
      </c>
      <c r="E17">
        <v>23</v>
      </c>
      <c r="F17">
        <v>32</v>
      </c>
      <c r="H17" t="s">
        <v>5</v>
      </c>
      <c r="I17">
        <v>22</v>
      </c>
      <c r="J17">
        <v>31</v>
      </c>
      <c r="K17">
        <v>46</v>
      </c>
      <c r="L17">
        <v>58</v>
      </c>
      <c r="M17">
        <v>69</v>
      </c>
    </row>
    <row r="18" spans="1:13" x14ac:dyDescent="0.2">
      <c r="A18" t="s">
        <v>33</v>
      </c>
      <c r="B18">
        <v>28</v>
      </c>
      <c r="C18">
        <v>32</v>
      </c>
      <c r="D18">
        <v>53</v>
      </c>
      <c r="E18">
        <v>53</v>
      </c>
      <c r="F18">
        <v>61</v>
      </c>
      <c r="H18" t="s">
        <v>33</v>
      </c>
      <c r="I18">
        <v>18</v>
      </c>
      <c r="J18">
        <v>29</v>
      </c>
      <c r="K18">
        <v>46</v>
      </c>
      <c r="L18">
        <v>55</v>
      </c>
      <c r="M18">
        <v>70</v>
      </c>
    </row>
    <row r="19" spans="1:13" x14ac:dyDescent="0.2">
      <c r="A19" t="s">
        <v>33</v>
      </c>
      <c r="B19">
        <v>28</v>
      </c>
      <c r="C19">
        <v>37</v>
      </c>
      <c r="D19">
        <v>49</v>
      </c>
      <c r="E19">
        <v>52</v>
      </c>
      <c r="F19">
        <v>62</v>
      </c>
    </row>
    <row r="20" spans="1:13" x14ac:dyDescent="0.2">
      <c r="A20" t="s">
        <v>118</v>
      </c>
      <c r="B20">
        <v>29</v>
      </c>
      <c r="C20">
        <v>41</v>
      </c>
      <c r="D20">
        <v>49</v>
      </c>
      <c r="E20">
        <v>52</v>
      </c>
      <c r="F20">
        <v>65</v>
      </c>
    </row>
    <row r="21" spans="1:13" x14ac:dyDescent="0.2">
      <c r="A21" t="s">
        <v>14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17EE-7BB9-4441-8CE3-BE98A6B6E55A}">
  <dimension ref="B5:H8"/>
  <sheetViews>
    <sheetView workbookViewId="0">
      <selection activeCell="E45" sqref="E45"/>
    </sheetView>
  </sheetViews>
  <sheetFormatPr baseColWidth="10" defaultColWidth="8.83203125" defaultRowHeight="16" x14ac:dyDescent="0.2"/>
  <cols>
    <col min="2" max="2" width="10.6640625" customWidth="1"/>
    <col min="3" max="3" width="9.1640625" customWidth="1"/>
    <col min="4" max="4" width="12.83203125" customWidth="1"/>
    <col min="5" max="5" width="14.83203125" customWidth="1"/>
    <col min="6" max="6" width="14.1640625" customWidth="1"/>
    <col min="7" max="7" width="16" customWidth="1"/>
  </cols>
  <sheetData>
    <row r="5" spans="2:8" x14ac:dyDescent="0.2">
      <c r="B5" s="50"/>
      <c r="C5" s="49" t="s">
        <v>133</v>
      </c>
      <c r="D5" s="49" t="s">
        <v>132</v>
      </c>
      <c r="E5" s="49" t="s">
        <v>134</v>
      </c>
      <c r="F5" s="49" t="s">
        <v>135</v>
      </c>
      <c r="G5" s="49" t="s">
        <v>138</v>
      </c>
      <c r="H5" s="56" t="s">
        <v>140</v>
      </c>
    </row>
    <row r="6" spans="2:8" x14ac:dyDescent="0.2">
      <c r="B6" s="54" t="s">
        <v>130</v>
      </c>
      <c r="C6" s="52">
        <v>2.79</v>
      </c>
      <c r="D6" s="52" t="s">
        <v>136</v>
      </c>
      <c r="E6" s="52" t="s">
        <v>136</v>
      </c>
      <c r="F6" s="52" t="s">
        <v>136</v>
      </c>
      <c r="G6" s="52" t="s">
        <v>137</v>
      </c>
      <c r="H6" s="57" t="s">
        <v>136</v>
      </c>
    </row>
    <row r="7" spans="2:8" x14ac:dyDescent="0.2">
      <c r="B7" s="55" t="s">
        <v>131</v>
      </c>
      <c r="C7" s="30">
        <v>3.25</v>
      </c>
      <c r="D7" s="30" t="s">
        <v>136</v>
      </c>
      <c r="E7" s="30" t="s">
        <v>137</v>
      </c>
      <c r="F7" s="30" t="s">
        <v>136</v>
      </c>
      <c r="G7" s="30" t="s">
        <v>136</v>
      </c>
      <c r="H7" s="58" t="s">
        <v>137</v>
      </c>
    </row>
    <row r="8" spans="2:8" x14ac:dyDescent="0.2">
      <c r="B8" s="53" t="s">
        <v>139</v>
      </c>
      <c r="C8" s="51">
        <v>2.33</v>
      </c>
      <c r="D8" s="51" t="s">
        <v>136</v>
      </c>
      <c r="E8" s="51" t="s">
        <v>136</v>
      </c>
      <c r="F8" s="51" t="s">
        <v>136</v>
      </c>
      <c r="G8" s="51" t="s">
        <v>136</v>
      </c>
      <c r="H8" s="59" t="s">
        <v>136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Graph</vt:lpstr>
      <vt:lpstr>Overalldata</vt:lpstr>
      <vt:lpstr>Sheet1</vt:lpstr>
      <vt:lpstr>Sheet2</vt:lpstr>
      <vt:lpstr>Overall</vt:lpstr>
      <vt:lpstr>GCSMdata</vt:lpstr>
      <vt:lpstr>Response</vt:lpstr>
      <vt:lpstr>Ablation Study</vt:lpstr>
      <vt:lpstr>Occupancy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cp:lastPrinted>2025-06-18T09:54:26Z</cp:lastPrinted>
  <dcterms:created xsi:type="dcterms:W3CDTF">2025-02-26T22:46:37Z</dcterms:created>
  <dcterms:modified xsi:type="dcterms:W3CDTF">2025-10-10T11:08:13Z</dcterms:modified>
</cp:coreProperties>
</file>