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huawei/workspace/DCSM4Paper/fig/"/>
    </mc:Choice>
  </mc:AlternateContent>
  <xr:revisionPtr revIDLastSave="0" documentId="13_ncr:1_{B1B0059E-BA2C-EC44-919C-F10DDCC50742}" xr6:coauthVersionLast="47" xr6:coauthVersionMax="47" xr10:uidLastSave="{00000000-0000-0000-0000-000000000000}"/>
  <bookViews>
    <workbookView xWindow="0" yWindow="780" windowWidth="34200" windowHeight="19340" activeTab="2" xr2:uid="{E14FA95C-B435-1846-BAC2-47B4847EF54C}"/>
  </bookViews>
  <sheets>
    <sheet name="Sheet1" sheetId="1" r:id="rId1"/>
    <sheet name="Sheet2" sheetId="2" r:id="rId2"/>
    <sheet name="Sheet8" sheetId="8" r:id="rId3"/>
    <sheet name="Sheet3" sheetId="3" r:id="rId4"/>
    <sheet name="Sheet9" sheetId="9" r:id="rId5"/>
    <sheet name="Sheet4" sheetId="4" r:id="rId6"/>
    <sheet name="Sheet5" sheetId="5" r:id="rId7"/>
    <sheet name="Sheet6" sheetId="6" r:id="rId8"/>
    <sheet name="Sheet7" sheetId="7" r:id="rId9"/>
  </sheets>
  <definedNames>
    <definedName name="_xlchart.v1.0" hidden="1">Sheet8!$B$12:$B$13</definedName>
    <definedName name="_xlchart.v1.1" hidden="1">Sheet8!$C$11</definedName>
    <definedName name="_xlchart.v1.2" hidden="1">Sheet8!$C$12:$C$13</definedName>
    <definedName name="_xlchart.v1.3" hidden="1">Sheet8!$D$11</definedName>
    <definedName name="_xlchart.v1.4" hidden="1">Sheet8!$D$12:$D$13</definedName>
    <definedName name="_xlchart.v1.5" hidden="1">Sheet8!$E$11</definedName>
    <definedName name="_xlchart.v1.6" hidden="1">Sheet8!$E$12:$E$13</definedName>
    <definedName name="_xlnm.Print_Area" localSheetId="1">Sheet2!$A$1:$O$25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5" l="1"/>
  <c r="D41" i="5"/>
  <c r="E41" i="5"/>
  <c r="F41" i="5"/>
  <c r="G41" i="5"/>
  <c r="E152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53" i="5"/>
  <c r="N4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85" i="5"/>
  <c r="C86" i="5"/>
  <c r="C87" i="5"/>
  <c r="C88" i="5"/>
  <c r="C89" i="5"/>
  <c r="C90" i="5"/>
  <c r="C91" i="5"/>
  <c r="C92" i="5"/>
  <c r="C93" i="5"/>
  <c r="C94" i="5"/>
  <c r="C77" i="5"/>
  <c r="C78" i="5"/>
  <c r="C79" i="5"/>
  <c r="C80" i="5"/>
  <c r="C81" i="5"/>
  <c r="C82" i="5"/>
  <c r="C83" i="5"/>
  <c r="C84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53" i="5"/>
  <c r="L30" i="5"/>
  <c r="M30" i="5"/>
  <c r="N30" i="5"/>
  <c r="O30" i="5"/>
  <c r="P30" i="5"/>
  <c r="K30" i="5"/>
  <c r="M59" i="2"/>
  <c r="L59" i="2"/>
  <c r="K59" i="2"/>
  <c r="J59" i="2"/>
  <c r="I59" i="2"/>
  <c r="H59" i="2"/>
  <c r="G59" i="2"/>
  <c r="F59" i="2"/>
  <c r="E59" i="2"/>
  <c r="M53" i="2"/>
  <c r="L53" i="2"/>
  <c r="K53" i="2"/>
  <c r="J53" i="2"/>
  <c r="I53" i="2"/>
  <c r="H53" i="2"/>
  <c r="G53" i="2"/>
  <c r="F53" i="2"/>
  <c r="E53" i="2"/>
  <c r="M47" i="2"/>
  <c r="L47" i="2"/>
  <c r="K47" i="2"/>
  <c r="J47" i="2"/>
  <c r="I47" i="2"/>
  <c r="H47" i="2"/>
  <c r="G47" i="2"/>
  <c r="F47" i="2"/>
  <c r="E47" i="2"/>
  <c r="M41" i="2"/>
  <c r="L41" i="2"/>
  <c r="K41" i="2"/>
  <c r="J41" i="2"/>
  <c r="I41" i="2"/>
  <c r="H41" i="2"/>
  <c r="G41" i="2"/>
  <c r="F41" i="2"/>
  <c r="E41" i="2"/>
  <c r="M35" i="2"/>
  <c r="L35" i="2"/>
  <c r="K35" i="2"/>
  <c r="J35" i="2"/>
  <c r="I35" i="2"/>
  <c r="H35" i="2"/>
  <c r="G35" i="2"/>
  <c r="F35" i="2"/>
  <c r="E35" i="2"/>
  <c r="M29" i="2"/>
  <c r="L29" i="2"/>
  <c r="K29" i="2"/>
  <c r="J29" i="2"/>
  <c r="I29" i="2"/>
  <c r="H29" i="2"/>
  <c r="G29" i="2"/>
  <c r="F29" i="2"/>
  <c r="E29" i="2"/>
  <c r="M23" i="2"/>
  <c r="L23" i="2"/>
  <c r="K23" i="2"/>
  <c r="J23" i="2"/>
  <c r="I23" i="2"/>
  <c r="H23" i="2"/>
  <c r="G23" i="2"/>
  <c r="F23" i="2"/>
  <c r="E23" i="2"/>
  <c r="M17" i="2"/>
  <c r="L17" i="2"/>
  <c r="K17" i="2"/>
  <c r="J17" i="2"/>
  <c r="I17" i="2"/>
  <c r="H17" i="2"/>
  <c r="G17" i="2"/>
  <c r="F17" i="2"/>
  <c r="E17" i="2"/>
  <c r="M11" i="2"/>
  <c r="L11" i="2"/>
  <c r="K11" i="2"/>
  <c r="J11" i="2"/>
  <c r="I11" i="2"/>
  <c r="H11" i="2"/>
  <c r="G11" i="2"/>
  <c r="F11" i="2"/>
  <c r="E11" i="2"/>
  <c r="F5" i="2"/>
  <c r="G5" i="2"/>
  <c r="H5" i="2"/>
  <c r="I5" i="2"/>
  <c r="J5" i="2"/>
  <c r="K5" i="2"/>
  <c r="L5" i="2"/>
  <c r="M5" i="2"/>
  <c r="E5" i="2"/>
  <c r="R5" i="2"/>
  <c r="S5" i="2"/>
  <c r="T5" i="2"/>
  <c r="U5" i="2"/>
  <c r="V5" i="2"/>
  <c r="W5" i="2"/>
  <c r="X5" i="2"/>
  <c r="Y5" i="2"/>
  <c r="Z5" i="2"/>
  <c r="D40" i="7"/>
  <c r="D32" i="7"/>
  <c r="C40" i="7"/>
  <c r="E40" i="7"/>
  <c r="F40" i="7"/>
  <c r="G40" i="7"/>
  <c r="H40" i="7"/>
  <c r="C42" i="7"/>
  <c r="D42" i="7"/>
  <c r="E42" i="7"/>
  <c r="F42" i="7"/>
  <c r="G42" i="7"/>
  <c r="H42" i="7"/>
  <c r="C43" i="7"/>
  <c r="D43" i="7"/>
  <c r="E43" i="7"/>
  <c r="F43" i="7"/>
  <c r="G43" i="7"/>
  <c r="H43" i="7"/>
  <c r="C44" i="7"/>
  <c r="D44" i="7"/>
  <c r="E44" i="7"/>
  <c r="F44" i="7"/>
  <c r="G44" i="7"/>
  <c r="H44" i="7"/>
  <c r="D41" i="7"/>
  <c r="E41" i="7"/>
  <c r="F41" i="7"/>
  <c r="G41" i="7"/>
  <c r="H41" i="7"/>
  <c r="C41" i="7"/>
  <c r="D33" i="7"/>
  <c r="E33" i="7"/>
  <c r="F33" i="7"/>
  <c r="D34" i="7"/>
  <c r="E34" i="7"/>
  <c r="F34" i="7"/>
  <c r="F35" i="7"/>
  <c r="F36" i="7"/>
  <c r="E32" i="7"/>
  <c r="F32" i="7"/>
  <c r="C32" i="7"/>
  <c r="C36" i="6" l="1"/>
  <c r="D36" i="6"/>
  <c r="E36" i="6"/>
  <c r="F36" i="6"/>
  <c r="G36" i="6"/>
  <c r="H36" i="6"/>
  <c r="I36" i="6"/>
  <c r="J36" i="6"/>
  <c r="K36" i="6"/>
  <c r="C37" i="6"/>
  <c r="D37" i="6"/>
  <c r="E37" i="6"/>
  <c r="F37" i="6"/>
  <c r="G37" i="6"/>
  <c r="H37" i="6"/>
  <c r="I37" i="6"/>
  <c r="J37" i="6"/>
  <c r="K37" i="6"/>
  <c r="C38" i="6"/>
  <c r="D38" i="6"/>
  <c r="E38" i="6"/>
  <c r="F38" i="6"/>
  <c r="G38" i="6"/>
  <c r="H38" i="6"/>
  <c r="I38" i="6"/>
  <c r="J38" i="6"/>
  <c r="K38" i="6"/>
  <c r="D35" i="6"/>
  <c r="E35" i="6"/>
  <c r="F35" i="6"/>
  <c r="G35" i="6"/>
  <c r="H35" i="6"/>
  <c r="I35" i="6"/>
  <c r="J35" i="6"/>
  <c r="K35" i="6"/>
  <c r="C35" i="6"/>
  <c r="K40" i="6"/>
  <c r="J40" i="6"/>
  <c r="I40" i="6"/>
  <c r="H40" i="6"/>
  <c r="G40" i="6"/>
  <c r="F40" i="6"/>
  <c r="E40" i="6"/>
  <c r="D40" i="6"/>
  <c r="C40" i="6"/>
  <c r="K39" i="6"/>
  <c r="J39" i="6"/>
  <c r="I39" i="6"/>
  <c r="H39" i="6"/>
  <c r="G39" i="6"/>
  <c r="F39" i="6"/>
  <c r="E39" i="6"/>
  <c r="D39" i="6"/>
  <c r="C39" i="6"/>
  <c r="C21" i="6"/>
  <c r="K29" i="6"/>
  <c r="J29" i="6"/>
  <c r="I29" i="6"/>
  <c r="H29" i="6"/>
  <c r="G29" i="6"/>
  <c r="F29" i="6"/>
  <c r="E29" i="6"/>
  <c r="D29" i="6"/>
  <c r="C29" i="6"/>
  <c r="K28" i="6"/>
  <c r="J28" i="6"/>
  <c r="I28" i="6"/>
  <c r="H28" i="6"/>
  <c r="G28" i="6"/>
  <c r="F28" i="6"/>
  <c r="E28" i="6"/>
  <c r="D28" i="6"/>
  <c r="C28" i="6"/>
  <c r="C19" i="6"/>
  <c r="D19" i="6"/>
  <c r="E19" i="6"/>
  <c r="F19" i="6"/>
  <c r="G19" i="6"/>
  <c r="H19" i="6"/>
  <c r="I19" i="6"/>
  <c r="J19" i="6"/>
  <c r="K19" i="6"/>
  <c r="C20" i="6"/>
  <c r="D20" i="6"/>
  <c r="E20" i="6"/>
  <c r="F20" i="6"/>
  <c r="G20" i="6"/>
  <c r="H20" i="6"/>
  <c r="I20" i="6"/>
  <c r="J20" i="6"/>
  <c r="K20" i="6"/>
  <c r="D21" i="6"/>
  <c r="E21" i="6"/>
  <c r="F21" i="6"/>
  <c r="G21" i="6"/>
  <c r="H21" i="6"/>
  <c r="I21" i="6"/>
  <c r="J21" i="6"/>
  <c r="K21" i="6"/>
  <c r="D18" i="6"/>
  <c r="E18" i="6"/>
  <c r="F18" i="6"/>
  <c r="G18" i="6"/>
  <c r="H18" i="6"/>
  <c r="I18" i="6"/>
  <c r="J18" i="6"/>
  <c r="K18" i="6"/>
  <c r="C18" i="6"/>
  <c r="AA17" i="2"/>
  <c r="N55" i="2"/>
  <c r="N61" i="2"/>
  <c r="N49" i="2"/>
  <c r="N37" i="2"/>
  <c r="N31" i="2"/>
  <c r="AA53" i="2"/>
  <c r="AA47" i="2"/>
  <c r="AA41" i="2"/>
  <c r="AA35" i="2"/>
  <c r="AA23" i="2"/>
  <c r="AA11" i="2"/>
  <c r="AA5" i="2"/>
  <c r="T47" i="2"/>
  <c r="Y59" i="2"/>
  <c r="X59" i="2"/>
  <c r="W59" i="2"/>
  <c r="V59" i="2"/>
  <c r="U59" i="2"/>
  <c r="T59" i="2"/>
  <c r="S59" i="2"/>
  <c r="R59" i="2"/>
  <c r="Y53" i="2"/>
  <c r="X53" i="2"/>
  <c r="W53" i="2"/>
  <c r="V53" i="2"/>
  <c r="U53" i="2"/>
  <c r="T53" i="2"/>
  <c r="S53" i="2"/>
  <c r="R53" i="2"/>
  <c r="Y47" i="2"/>
  <c r="X47" i="2"/>
  <c r="W47" i="2"/>
  <c r="V47" i="2"/>
  <c r="U47" i="2"/>
  <c r="S47" i="2"/>
  <c r="R47" i="2"/>
  <c r="Y41" i="2"/>
  <c r="X41" i="2"/>
  <c r="W41" i="2"/>
  <c r="V41" i="2"/>
  <c r="U41" i="2"/>
  <c r="T41" i="2"/>
  <c r="S41" i="2"/>
  <c r="R41" i="2"/>
  <c r="Y35" i="2"/>
  <c r="X35" i="2"/>
  <c r="W35" i="2"/>
  <c r="V35" i="2"/>
  <c r="U35" i="2"/>
  <c r="T35" i="2"/>
  <c r="S35" i="2"/>
  <c r="R35" i="2"/>
  <c r="Y29" i="2"/>
  <c r="AA29" i="2" s="1"/>
  <c r="X29" i="2"/>
  <c r="W29" i="2"/>
  <c r="V29" i="2"/>
  <c r="U29" i="2"/>
  <c r="T29" i="2"/>
  <c r="S29" i="2"/>
  <c r="R29" i="2"/>
  <c r="Z23" i="2"/>
  <c r="Y23" i="2"/>
  <c r="X23" i="2"/>
  <c r="W23" i="2"/>
  <c r="V23" i="2"/>
  <c r="U23" i="2"/>
  <c r="T23" i="2"/>
  <c r="S23" i="2"/>
  <c r="R23" i="2"/>
  <c r="Z17" i="2"/>
  <c r="Y17" i="2"/>
  <c r="X17" i="2"/>
  <c r="W17" i="2"/>
  <c r="V17" i="2"/>
  <c r="U17" i="2"/>
  <c r="T17" i="2"/>
  <c r="S17" i="2"/>
  <c r="R17" i="2"/>
  <c r="Z11" i="2"/>
  <c r="Y11" i="2"/>
  <c r="X11" i="2"/>
  <c r="W11" i="2"/>
  <c r="V11" i="2"/>
  <c r="U11" i="2"/>
  <c r="T11" i="2"/>
  <c r="S11" i="2"/>
  <c r="R11" i="2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53" i="5"/>
  <c r="H41" i="5"/>
  <c r="I41" i="5"/>
  <c r="J41" i="5"/>
  <c r="K41" i="5"/>
  <c r="L41" i="5"/>
  <c r="M41" i="5"/>
  <c r="R15" i="1"/>
  <c r="S15" i="1"/>
  <c r="T15" i="1"/>
  <c r="U15" i="1"/>
  <c r="V15" i="1"/>
  <c r="W15" i="1"/>
  <c r="X15" i="1"/>
  <c r="Y15" i="1"/>
  <c r="Z15" i="1"/>
  <c r="AA15" i="1"/>
  <c r="AB15" i="1"/>
  <c r="Z16" i="1"/>
  <c r="R17" i="1"/>
  <c r="R16" i="1" s="1"/>
  <c r="S17" i="1"/>
  <c r="S16" i="1" s="1"/>
  <c r="T17" i="1"/>
  <c r="T16" i="1" s="1"/>
  <c r="U17" i="1"/>
  <c r="U16" i="1" s="1"/>
  <c r="V17" i="1"/>
  <c r="V16" i="1" s="1"/>
  <c r="W17" i="1"/>
  <c r="W16" i="1" s="1"/>
  <c r="X17" i="1"/>
  <c r="X22" i="1" s="1"/>
  <c r="Y17" i="1"/>
  <c r="Y22" i="1" s="1"/>
  <c r="Z17" i="1"/>
  <c r="AA17" i="1"/>
  <c r="AA16" i="1" s="1"/>
  <c r="AB17" i="1"/>
  <c r="AB16" i="1" s="1"/>
  <c r="AE19" i="1"/>
  <c r="R22" i="1"/>
  <c r="S22" i="1"/>
  <c r="T22" i="1"/>
  <c r="U22" i="1"/>
  <c r="V22" i="1"/>
  <c r="W22" i="1"/>
  <c r="Z22" i="1"/>
  <c r="AA22" i="1"/>
  <c r="AB22" i="1"/>
  <c r="R23" i="1"/>
  <c r="S23" i="1"/>
  <c r="T23" i="1"/>
  <c r="U23" i="1"/>
  <c r="V23" i="1"/>
  <c r="AA59" i="2" l="1"/>
  <c r="AA62" i="2" s="1"/>
  <c r="Y16" i="1"/>
  <c r="X16" i="1"/>
</calcChain>
</file>

<file path=xl/sharedStrings.xml><?xml version="1.0" encoding="utf-8"?>
<sst xmlns="http://schemas.openxmlformats.org/spreadsheetml/2006/main" count="654" uniqueCount="169">
  <si>
    <t>Graph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</si>
  <si>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</si>
  <si>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</si>
  <si>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</si>
  <si>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</si>
  <si>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</si>
  <si>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</si>
  <si>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</si>
  <si>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</si>
  <si>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</si>
  <si>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en</t>
  </si>
  <si>
    <t>NewSP</t>
  </si>
  <si>
    <t>-</t>
  </si>
  <si>
    <t>DCSM</t>
  </si>
  <si>
    <t>az</t>
  </si>
  <si>
    <t>db</t>
  </si>
  <si>
    <t>nf</t>
  </si>
  <si>
    <t>18s</t>
  </si>
  <si>
    <t>11s</t>
  </si>
  <si>
    <t>48s</t>
  </si>
  <si>
    <t>0.4s</t>
  </si>
  <si>
    <t>lb</t>
  </si>
  <si>
    <t>415s</t>
  </si>
  <si>
    <t>77s</t>
  </si>
  <si>
    <t>6.3s</t>
  </si>
  <si>
    <t>1753s</t>
  </si>
  <si>
    <t>9953s</t>
  </si>
  <si>
    <t>5.1s</t>
  </si>
  <si>
    <t>22.8s</t>
  </si>
  <si>
    <t>2625s</t>
  </si>
  <si>
    <t>45s</t>
  </si>
  <si>
    <t>5.9s</t>
  </si>
  <si>
    <t>1.3s</t>
  </si>
  <si>
    <t>1.1s</t>
  </si>
  <si>
    <t>33s</t>
  </si>
  <si>
    <t>80s</t>
  </si>
  <si>
    <t>12s</t>
  </si>
  <si>
    <t>lj</t>
  </si>
  <si>
    <t>252s</t>
  </si>
  <si>
    <t>333s</t>
  </si>
  <si>
    <t>111s</t>
  </si>
  <si>
    <t>4988s</t>
  </si>
  <si>
    <t>17s</t>
  </si>
  <si>
    <t>26s</t>
  </si>
  <si>
    <t>1284s</t>
  </si>
  <si>
    <t>39s</t>
  </si>
  <si>
    <t>78s</t>
  </si>
  <si>
    <t>6.2s</t>
  </si>
  <si>
    <t>22s</t>
  </si>
  <si>
    <t>2843s</t>
  </si>
  <si>
    <t>2825s</t>
  </si>
  <si>
    <t>2.9s</t>
  </si>
  <si>
    <t>3.8s</t>
  </si>
  <si>
    <t>3.3s</t>
  </si>
  <si>
    <t>3.5s</t>
  </si>
  <si>
    <t>Labeled</t>
  </si>
  <si>
    <t>Rapidflow</t>
  </si>
  <si>
    <t>CaliG</t>
  </si>
  <si>
    <t>HashTable</t>
  </si>
  <si>
    <t>Edge-Extension</t>
  </si>
  <si>
    <t>Unlabeled</t>
  </si>
  <si>
    <t>264s</t>
  </si>
  <si>
    <t>1124s</t>
  </si>
  <si>
    <t>713s</t>
  </si>
  <si>
    <t>22594s</t>
  </si>
  <si>
    <t>16973s</t>
  </si>
  <si>
    <t>30s</t>
  </si>
  <si>
    <t>9.5s</t>
  </si>
  <si>
    <t>265s</t>
  </si>
  <si>
    <t>449s</t>
  </si>
  <si>
    <t>62s</t>
  </si>
  <si>
    <t>223s</t>
  </si>
  <si>
    <t>60s</t>
  </si>
  <si>
    <t>13s</t>
  </si>
  <si>
    <t>5550s</t>
  </si>
  <si>
    <t>961s</t>
  </si>
  <si>
    <t>3.1s</t>
  </si>
  <si>
    <t>173s</t>
  </si>
  <si>
    <t>101s</t>
  </si>
  <si>
    <t>2.5s</t>
  </si>
  <si>
    <t>7.1s</t>
  </si>
  <si>
    <t>2.3s</t>
  </si>
  <si>
    <t>4.8s</t>
  </si>
  <si>
    <t>154s</t>
  </si>
  <si>
    <t>9.7s</t>
  </si>
  <si>
    <t>25s</t>
  </si>
  <si>
    <t>6.1s</t>
  </si>
  <si>
    <t>5.8s</t>
  </si>
  <si>
    <t>125s</t>
  </si>
  <si>
    <t>5129s</t>
  </si>
  <si>
    <t>282s</t>
  </si>
  <si>
    <t>平均时长</t>
  </si>
  <si>
    <t>en/rectangle</t>
  </si>
  <si>
    <t>总时长</t>
  </si>
  <si>
    <t>GCSM</t>
  </si>
  <si>
    <t>nf/Q4</t>
  </si>
  <si>
    <t>232s</t>
  </si>
  <si>
    <t>lambda</t>
  </si>
  <si>
    <t>Response Time</t>
  </si>
  <si>
    <t>平均间隔</t>
  </si>
  <si>
    <t>平均等待时长</t>
  </si>
  <si>
    <t>GCSM-5000</t>
  </si>
  <si>
    <t>GCSM-10000</t>
  </si>
  <si>
    <t>nf/q4</t>
  </si>
  <si>
    <t>nf/q6</t>
  </si>
  <si>
    <t>lb/q4</t>
  </si>
  <si>
    <t>lb/q8</t>
  </si>
  <si>
    <t>lj/q8</t>
  </si>
  <si>
    <t>lj/q9</t>
  </si>
  <si>
    <t>2.2s</t>
  </si>
  <si>
    <t>455s</t>
  </si>
  <si>
    <t>575s</t>
  </si>
  <si>
    <t>497s</t>
  </si>
  <si>
    <t>611s</t>
  </si>
  <si>
    <t>1.9s</t>
  </si>
  <si>
    <t>92s</t>
  </si>
  <si>
    <t>G</t>
  </si>
  <si>
    <t>Edge</t>
  </si>
  <si>
    <t>76s</t>
  </si>
  <si>
    <t>GCSM-300</t>
  </si>
  <si>
    <t>GCSM-1000</t>
  </si>
  <si>
    <t>Our Goal</t>
  </si>
  <si>
    <t>50k</t>
  </si>
  <si>
    <t>25k</t>
  </si>
  <si>
    <t>12k</t>
  </si>
  <si>
    <t>6k</t>
  </si>
  <si>
    <t>3k</t>
  </si>
  <si>
    <t>1.5k</t>
  </si>
  <si>
    <t>GCSM-6000</t>
  </si>
  <si>
    <t>RapidFlow</t>
  </si>
  <si>
    <t>0.1k</t>
  </si>
  <si>
    <t>0.2k</t>
  </si>
  <si>
    <t>0.4k</t>
  </si>
  <si>
    <t>0.8k</t>
  </si>
  <si>
    <t>3.2k</t>
  </si>
  <si>
    <t>1.6k</t>
  </si>
  <si>
    <t>6.4k</t>
  </si>
  <si>
    <t>2k</t>
  </si>
  <si>
    <t>4k</t>
  </si>
  <si>
    <t>8k</t>
  </si>
  <si>
    <t>16k</t>
  </si>
  <si>
    <t>32k</t>
  </si>
  <si>
    <t>64k</t>
  </si>
  <si>
    <t>128k</t>
  </si>
  <si>
    <t>256k</t>
  </si>
  <si>
    <t>1k</t>
  </si>
  <si>
    <t>unlabeled</t>
  </si>
  <si>
    <t>x</t>
  </si>
  <si>
    <t>Batch Size</t>
  </si>
  <si>
    <t>Naïve</t>
  </si>
  <si>
    <t>Async GU</t>
  </si>
  <si>
    <t>lj=Q1</t>
  </si>
  <si>
    <t>nf-Q5</t>
  </si>
  <si>
    <t>Parallel GU</t>
  </si>
  <si>
    <t>Parallel 32</t>
  </si>
  <si>
    <t>Parallel 64</t>
  </si>
  <si>
    <t>nf-3star</t>
  </si>
  <si>
    <t>nf-diamond</t>
  </si>
  <si>
    <t>25m</t>
  </si>
  <si>
    <t>12.5m</t>
  </si>
  <si>
    <t>6.2m</t>
  </si>
  <si>
    <t>3.1m</t>
  </si>
  <si>
    <t>1.5m</t>
  </si>
  <si>
    <t>0.7m</t>
  </si>
  <si>
    <t>GCSM-4096</t>
  </si>
  <si>
    <t>GCSM-128</t>
  </si>
  <si>
    <t>Our System</t>
  </si>
  <si>
    <t>0.7k</t>
  </si>
  <si>
    <t>0.05k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</si>
</sst>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Menlo"/>
      <family val="2"/>
    </font>
    <font>
      <sz val="12"/>
      <color rgb="FFB5CEA8"/>
      <name val="Menlo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8" xfId="0" applyBorder="1" applyAlignment="1">
      <alignment horizontal="center"/>
    </xf>
    <xf numFmtId="0" fontId="4" fillId="0" borderId="3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textRotation="90"/>
    </xf>
    <xf numFmtId="0" fontId="7" fillId="0" borderId="7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textRotation="90"/>
    </xf>
    <xf numFmtId="0" fontId="0" fillId="0" borderId="3" xfId="0" applyBorder="1" applyAlignment="1">
      <alignment horizontal="center" textRotation="90"/>
    </xf>
    <xf numFmtId="0" fontId="0" fillId="0" borderId="7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22664743272661"/>
          <c:y val="0.22978784372629366"/>
          <c:w val="0.54340318711035462"/>
          <c:h val="0.49523978285614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Sheet8!$C$11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Sheet8!$B$12:$B$13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Sheet8!$C$12:$C$13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9-5A47-A2A6-16E6B095ED3C}"/>
            </c:ext>
          </c:extLst>
        </c:ser>
        <c:ser>
          <c:idx val="1"/>
          <c:order val="1"/>
          <c:tx>
            <c:strRef>
              <c:f>Sheet8!$D$11</c:f>
              <c:strCache>
                <c:ptCount val="1"/>
                <c:pt idx="0">
                  <c:v>Async GU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Sheet8!$B$12:$B$13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Sheet8!$D$12:$D$13</c:f>
              <c:numCache>
                <c:formatCode>General</c:formatCode>
                <c:ptCount val="2"/>
                <c:pt idx="0">
                  <c:v>1.4</c:v>
                </c:pt>
                <c:pt idx="1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9-5A47-A2A6-16E6B095ED3C}"/>
            </c:ext>
          </c:extLst>
        </c:ser>
        <c:ser>
          <c:idx val="2"/>
          <c:order val="2"/>
          <c:tx>
            <c:strRef>
              <c:f>Sheet8!$E$11</c:f>
              <c:strCache>
                <c:ptCount val="1"/>
                <c:pt idx="0">
                  <c:v>Parallel GU</c:v>
                </c:pt>
              </c:strCache>
            </c:strRef>
          </c:tx>
          <c:spPr>
            <a:pattFill prst="wdUpDiag">
              <a:fgClr>
                <a:schemeClr val="accent3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Sheet8!$B$12:$B$13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Sheet8!$E$12:$E$13</c:f>
              <c:numCache>
                <c:formatCode>General</c:formatCode>
                <c:ptCount val="2"/>
                <c:pt idx="0">
                  <c:v>1.4</c:v>
                </c:pt>
                <c:pt idx="1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9-5A47-A2A6-16E6B095E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430623"/>
        <c:axId val="103404368"/>
      </c:barChart>
      <c:catAx>
        <c:axId val="129443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Matching 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04368"/>
        <c:crosses val="autoZero"/>
        <c:auto val="1"/>
        <c:lblAlgn val="ctr"/>
        <c:lblOffset val="100"/>
        <c:noMultiLvlLbl val="0"/>
      </c:catAx>
      <c:valAx>
        <c:axId val="1034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4306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974374116114019"/>
          <c:y val="6.8750595360727682E-2"/>
          <c:w val="0.57890925272242266"/>
          <c:h val="0.16261193704720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9922664743272661"/>
          <c:y val="0.22978784372629366"/>
          <c:w val="0.54062532808398955"/>
          <c:h val="0.49986949547973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Sheet8!$C$17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Sheet8!$B$18:$B$19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Sheet8!$C$18:$C$19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9-5A47-A2A6-16E6B095ED3C}"/>
            </c:ext>
          </c:extLst>
        </c:ser>
        <c:ser>
          <c:idx val="1"/>
          <c:order val="1"/>
          <c:tx>
            <c:strRef>
              <c:f>Sheet8!$D$17</c:f>
              <c:strCache>
                <c:ptCount val="1"/>
                <c:pt idx="0">
                  <c:v>Async GU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Sheet8!$B$18:$B$19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Sheet8!$D$18:$D$19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9-5A47-A2A6-16E6B095ED3C}"/>
            </c:ext>
          </c:extLst>
        </c:ser>
        <c:ser>
          <c:idx val="2"/>
          <c:order val="2"/>
          <c:tx>
            <c:strRef>
              <c:f>Sheet8!$E$17</c:f>
              <c:strCache>
                <c:ptCount val="1"/>
                <c:pt idx="0">
                  <c:v>Parallel 32</c:v>
                </c:pt>
              </c:strCache>
            </c:strRef>
          </c:tx>
          <c:spPr>
            <a:pattFill prst="wdUpDiag">
              <a:fgClr>
                <a:schemeClr val="accent3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Sheet8!$B$18:$B$19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Sheet8!$E$18:$E$19</c:f>
              <c:numCache>
                <c:formatCode>General</c:formatCode>
                <c:ptCount val="2"/>
                <c:pt idx="0">
                  <c:v>3.2</c:v>
                </c:pt>
                <c:pt idx="1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9-5A47-A2A6-16E6B095ED3C}"/>
            </c:ext>
          </c:extLst>
        </c:ser>
        <c:ser>
          <c:idx val="3"/>
          <c:order val="3"/>
          <c:tx>
            <c:strRef>
              <c:f>Sheet8!$F$17</c:f>
              <c:strCache>
                <c:ptCount val="1"/>
                <c:pt idx="0">
                  <c:v>Parallel 64</c:v>
                </c:pt>
              </c:strCache>
            </c:strRef>
          </c:tx>
          <c:spPr>
            <a:pattFill prst="dkHorz">
              <a:fgClr>
                <a:srgbClr val="7030A0"/>
              </a:fgClr>
              <a:bgClr>
                <a:sysClr val="window" lastClr="FFFFFF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Sheet8!$B$18:$B$19</c:f>
              <c:strCache>
                <c:ptCount val="2"/>
                <c:pt idx="0">
                  <c:v>lj=Q1</c:v>
                </c:pt>
                <c:pt idx="1">
                  <c:v>nf-Q5</c:v>
                </c:pt>
              </c:strCache>
            </c:strRef>
          </c:cat>
          <c:val>
            <c:numRef>
              <c:f>Sheet8!$F$18:$F$19</c:f>
              <c:numCache>
                <c:formatCode>General</c:formatCode>
                <c:ptCount val="2"/>
                <c:pt idx="0">
                  <c:v>5.8</c:v>
                </c:pt>
                <c:pt idx="1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31-6546-9935-5705CD3AF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430623"/>
        <c:axId val="103404368"/>
      </c:barChart>
      <c:catAx>
        <c:axId val="129443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Matching Task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404368"/>
        <c:crosses val="autoZero"/>
        <c:auto val="1"/>
        <c:lblAlgn val="ctr"/>
        <c:lblOffset val="100"/>
        <c:noMultiLvlLbl val="0"/>
      </c:catAx>
      <c:valAx>
        <c:axId val="103404368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4306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974374116114019"/>
          <c:y val="6.8750595360727682E-2"/>
          <c:w val="0.46502034120734909"/>
          <c:h val="0.15335265383493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46595477067595"/>
          <c:y val="0.45320548974457614"/>
          <c:w val="0.40131947466924667"/>
          <c:h val="0.3335511417689917"/>
        </c:manualLayout>
      </c:layout>
      <c:lineChart>
        <c:grouping val="standard"/>
        <c:varyColors val="0"/>
        <c:ser>
          <c:idx val="4"/>
          <c:order val="0"/>
          <c:tx>
            <c:strRef>
              <c:f>Sheet3!$C$12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Sheet3!$D$12:$I$12</c:f>
              <c:numCache>
                <c:formatCode>General</c:formatCode>
                <c:ptCount val="6"/>
                <c:pt idx="0">
                  <c:v>499.99990000000003</c:v>
                </c:pt>
                <c:pt idx="1">
                  <c:v>449.99991</c:v>
                </c:pt>
                <c:pt idx="2">
                  <c:v>349.99993000000001</c:v>
                </c:pt>
                <c:pt idx="3">
                  <c:v>149.99996999999999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9E-224C-A7E4-23507A71DEB0}"/>
            </c:ext>
          </c:extLst>
        </c:ser>
        <c:ser>
          <c:idx val="5"/>
          <c:order val="1"/>
          <c:tx>
            <c:strRef>
              <c:f>Sheet3!$C$13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Sheet3!$D$13:$I$13</c:f>
              <c:numCache>
                <c:formatCode>General</c:formatCode>
                <c:ptCount val="6"/>
                <c:pt idx="0">
                  <c:v>70.435222999999993</c:v>
                </c:pt>
                <c:pt idx="1">
                  <c:v>30.435717</c:v>
                </c:pt>
                <c:pt idx="2">
                  <c:v>0.59896499999999997</c:v>
                </c:pt>
                <c:pt idx="3">
                  <c:v>0.39793099999999998</c:v>
                </c:pt>
                <c:pt idx="4">
                  <c:v>0.79586100000000004</c:v>
                </c:pt>
                <c:pt idx="5">
                  <c:v>1.591723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9E-224C-A7E4-23507A71DEB0}"/>
            </c:ext>
          </c:extLst>
        </c:ser>
        <c:ser>
          <c:idx val="6"/>
          <c:order val="2"/>
          <c:tx>
            <c:strRef>
              <c:f>Sheet3!$C$14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Sheet3!$D$14:$I$14</c:f>
              <c:numCache>
                <c:formatCode>General</c:formatCode>
                <c:ptCount val="6"/>
                <c:pt idx="0">
                  <c:v>70.315676999999994</c:v>
                </c:pt>
                <c:pt idx="1">
                  <c:v>30.317623000000001</c:v>
                </c:pt>
                <c:pt idx="2">
                  <c:v>1.397783</c:v>
                </c:pt>
                <c:pt idx="3">
                  <c:v>0.79556700000000002</c:v>
                </c:pt>
                <c:pt idx="4">
                  <c:v>1.5911329999999999</c:v>
                </c:pt>
                <c:pt idx="5">
                  <c:v>3.182267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9E-224C-A7E4-23507A71DEB0}"/>
            </c:ext>
          </c:extLst>
        </c:ser>
        <c:ser>
          <c:idx val="7"/>
          <c:order val="3"/>
          <c:tx>
            <c:strRef>
              <c:f>Sheet3!$C$15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Sheet3!$D$15:$I$15</c:f>
              <c:numCache>
                <c:formatCode>General</c:formatCode>
                <c:ptCount val="6"/>
                <c:pt idx="0">
                  <c:v>65.850134999999995</c:v>
                </c:pt>
                <c:pt idx="1">
                  <c:v>15.901866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9E-224C-A7E4-23507A71DEB0}"/>
            </c:ext>
          </c:extLst>
        </c:ser>
        <c:ser>
          <c:idx val="0"/>
          <c:order val="4"/>
          <c:tx>
            <c:strRef>
              <c:f>Sheet3!$C$12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Sheet3!$D$12:$I$12</c:f>
              <c:numCache>
                <c:formatCode>General</c:formatCode>
                <c:ptCount val="6"/>
                <c:pt idx="0">
                  <c:v>499.99990000000003</c:v>
                </c:pt>
                <c:pt idx="1">
                  <c:v>449.99991</c:v>
                </c:pt>
                <c:pt idx="2">
                  <c:v>349.99993000000001</c:v>
                </c:pt>
                <c:pt idx="3">
                  <c:v>149.99996999999999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E-224C-A7E4-23507A71DEB0}"/>
            </c:ext>
          </c:extLst>
        </c:ser>
        <c:ser>
          <c:idx val="1"/>
          <c:order val="5"/>
          <c:tx>
            <c:strRef>
              <c:f>Sheet3!$C$13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Sheet3!$D$13:$I$13</c:f>
              <c:numCache>
                <c:formatCode>General</c:formatCode>
                <c:ptCount val="6"/>
                <c:pt idx="0">
                  <c:v>70.435222999999993</c:v>
                </c:pt>
                <c:pt idx="1">
                  <c:v>30.435717</c:v>
                </c:pt>
                <c:pt idx="2">
                  <c:v>0.59896499999999997</c:v>
                </c:pt>
                <c:pt idx="3">
                  <c:v>0.39793099999999998</c:v>
                </c:pt>
                <c:pt idx="4">
                  <c:v>0.79586100000000004</c:v>
                </c:pt>
                <c:pt idx="5">
                  <c:v>1.591723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E-224C-A7E4-23507A71DEB0}"/>
            </c:ext>
          </c:extLst>
        </c:ser>
        <c:ser>
          <c:idx val="2"/>
          <c:order val="6"/>
          <c:tx>
            <c:strRef>
              <c:f>Sheet3!$C$14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Sheet3!$D$14:$I$14</c:f>
              <c:numCache>
                <c:formatCode>General</c:formatCode>
                <c:ptCount val="6"/>
                <c:pt idx="0">
                  <c:v>70.315676999999994</c:v>
                </c:pt>
                <c:pt idx="1">
                  <c:v>30.317623000000001</c:v>
                </c:pt>
                <c:pt idx="2">
                  <c:v>1.397783</c:v>
                </c:pt>
                <c:pt idx="3">
                  <c:v>0.79556700000000002</c:v>
                </c:pt>
                <c:pt idx="4">
                  <c:v>1.5911329999999999</c:v>
                </c:pt>
                <c:pt idx="5">
                  <c:v>3.182267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9E-224C-A7E4-23507A71DEB0}"/>
            </c:ext>
          </c:extLst>
        </c:ser>
        <c:ser>
          <c:idx val="3"/>
          <c:order val="7"/>
          <c:tx>
            <c:strRef>
              <c:f>Sheet3!$C$15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Sheet3!$D$11:$I$11</c:f>
              <c:strCache>
                <c:ptCount val="6"/>
                <c:pt idx="0">
                  <c:v>0.1k</c:v>
                </c:pt>
                <c:pt idx="1">
                  <c:v>0.2k</c:v>
                </c:pt>
                <c:pt idx="2">
                  <c:v>0.4k</c:v>
                </c:pt>
                <c:pt idx="3">
                  <c:v>0.8k</c:v>
                </c:pt>
                <c:pt idx="4">
                  <c:v>1.6</c:v>
                </c:pt>
                <c:pt idx="5">
                  <c:v>3.2k</c:v>
                </c:pt>
              </c:strCache>
            </c:strRef>
          </c:cat>
          <c:val>
            <c:numRef>
              <c:f>Sheet3!$D$15:$I$15</c:f>
              <c:numCache>
                <c:formatCode>General</c:formatCode>
                <c:ptCount val="6"/>
                <c:pt idx="0">
                  <c:v>65.850134999999995</c:v>
                </c:pt>
                <c:pt idx="1">
                  <c:v>15.901866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9E-224C-A7E4-23507A71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Time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Span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Response 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Time (s)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0513036301591255E-2"/>
              <c:y val="0.40704923112931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  <c:majorUnit val="4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31409092030818941"/>
          <c:y val="0.51443283135695295"/>
          <c:w val="0.23025043720989521"/>
          <c:h val="0.17005542977364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46595477067595"/>
          <c:y val="0.43494095884107303"/>
          <c:w val="0.396967862858503"/>
          <c:h val="0.35181551691241214"/>
        </c:manualLayout>
      </c:layout>
      <c:lineChart>
        <c:grouping val="standard"/>
        <c:varyColors val="0"/>
        <c:ser>
          <c:idx val="0"/>
          <c:order val="0"/>
          <c:tx>
            <c:strRef>
              <c:f>Sheet3!$C$21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Sheet3!$D$20:$I$20</c:f>
              <c:strCache>
                <c:ptCount val="6"/>
                <c:pt idx="0">
                  <c:v>0.2k</c:v>
                </c:pt>
                <c:pt idx="1">
                  <c:v>0.4k</c:v>
                </c:pt>
                <c:pt idx="2">
                  <c:v>0.8k</c:v>
                </c:pt>
                <c:pt idx="3">
                  <c:v>1.6k</c:v>
                </c:pt>
                <c:pt idx="4">
                  <c:v>3.2k</c:v>
                </c:pt>
                <c:pt idx="5">
                  <c:v>6.4k</c:v>
                </c:pt>
              </c:strCache>
            </c:strRef>
          </c:cat>
          <c:val>
            <c:numRef>
              <c:f>Sheet3!$D$21:$I$21</c:f>
              <c:numCache>
                <c:formatCode>General</c:formatCode>
                <c:ptCount val="6"/>
                <c:pt idx="0">
                  <c:v>2649.9994729999999</c:v>
                </c:pt>
                <c:pt idx="1">
                  <c:v>2549.9994929999998</c:v>
                </c:pt>
                <c:pt idx="2">
                  <c:v>2349.9995319999998</c:v>
                </c:pt>
                <c:pt idx="3">
                  <c:v>1949.9996120000001</c:v>
                </c:pt>
                <c:pt idx="4">
                  <c:v>1149.999771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Sheet3!$C$22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Sheet3!$D$20:$I$20</c:f>
              <c:strCache>
                <c:ptCount val="6"/>
                <c:pt idx="0">
                  <c:v>0.2k</c:v>
                </c:pt>
                <c:pt idx="1">
                  <c:v>0.4k</c:v>
                </c:pt>
                <c:pt idx="2">
                  <c:v>0.8k</c:v>
                </c:pt>
                <c:pt idx="3">
                  <c:v>1.6k</c:v>
                </c:pt>
                <c:pt idx="4">
                  <c:v>3.2k</c:v>
                </c:pt>
                <c:pt idx="5">
                  <c:v>6.4k</c:v>
                </c:pt>
              </c:strCache>
            </c:strRef>
          </c:cat>
          <c:val>
            <c:numRef>
              <c:f>Sheet3!$D$22:$I$22</c:f>
              <c:numCache>
                <c:formatCode>General</c:formatCode>
                <c:ptCount val="6"/>
                <c:pt idx="0">
                  <c:v>315.29371400000002</c:v>
                </c:pt>
                <c:pt idx="1">
                  <c:v>215.29393200000001</c:v>
                </c:pt>
                <c:pt idx="2">
                  <c:v>15.304057999999999</c:v>
                </c:pt>
                <c:pt idx="3">
                  <c:v>0.79586100000000004</c:v>
                </c:pt>
                <c:pt idx="4">
                  <c:v>1.591723</c:v>
                </c:pt>
                <c:pt idx="5">
                  <c:v>3.1834449999999999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Sheet3!$C$23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Sheet3!$D$20:$I$20</c:f>
              <c:strCache>
                <c:ptCount val="6"/>
                <c:pt idx="0">
                  <c:v>0.2k</c:v>
                </c:pt>
                <c:pt idx="1">
                  <c:v>0.4k</c:v>
                </c:pt>
                <c:pt idx="2">
                  <c:v>0.8k</c:v>
                </c:pt>
                <c:pt idx="3">
                  <c:v>1.6k</c:v>
                </c:pt>
                <c:pt idx="4">
                  <c:v>3.2k</c:v>
                </c:pt>
                <c:pt idx="5">
                  <c:v>6.4k</c:v>
                </c:pt>
              </c:strCache>
            </c:strRef>
          </c:cat>
          <c:val>
            <c:numRef>
              <c:f>Sheet3!$D$23:$I$23</c:f>
              <c:numCache>
                <c:formatCode>General</c:formatCode>
                <c:ptCount val="6"/>
                <c:pt idx="0">
                  <c:v>314.881058</c:v>
                </c:pt>
                <c:pt idx="1">
                  <c:v>214.88186999999999</c:v>
                </c:pt>
                <c:pt idx="2">
                  <c:v>14.92226</c:v>
                </c:pt>
                <c:pt idx="3">
                  <c:v>1.5911329999999999</c:v>
                </c:pt>
                <c:pt idx="4">
                  <c:v>3.182267</c:v>
                </c:pt>
                <c:pt idx="5">
                  <c:v>6.3645339999999999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Sheet3!$C$24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Sheet3!$D$20:$I$20</c:f>
              <c:strCache>
                <c:ptCount val="6"/>
                <c:pt idx="0">
                  <c:v>0.2k</c:v>
                </c:pt>
                <c:pt idx="1">
                  <c:v>0.4k</c:v>
                </c:pt>
                <c:pt idx="2">
                  <c:v>0.8k</c:v>
                </c:pt>
                <c:pt idx="3">
                  <c:v>1.6k</c:v>
                </c:pt>
                <c:pt idx="4">
                  <c:v>3.2k</c:v>
                </c:pt>
                <c:pt idx="5">
                  <c:v>6.4k</c:v>
                </c:pt>
              </c:strCache>
            </c:strRef>
          </c:cat>
          <c:val>
            <c:numRef>
              <c:f>Sheet3!$D$24:$I$24</c:f>
              <c:numCache>
                <c:formatCode>General</c:formatCode>
                <c:ptCount val="6"/>
                <c:pt idx="0">
                  <c:v>299.40830399999999</c:v>
                </c:pt>
                <c:pt idx="1">
                  <c:v>199.51176599999999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Span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</a:rPr>
                  <a:t>Response</a:t>
                </a:r>
                <a:r>
                  <a:rPr lang="en-US"/>
                  <a:t> Time (ms)</a:t>
                </a:r>
              </a:p>
            </c:rich>
          </c:tx>
          <c:layout>
            <c:manualLayout>
              <c:xMode val="edge"/>
              <c:yMode val="edge"/>
              <c:x val="1.9604374020622654E-2"/>
              <c:y val="0.38990771154176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834196019464564"/>
          <c:y val="0.52477542381776643"/>
          <c:w val="0.4105348148935557"/>
          <c:h val="0.26198149954101918"/>
        </c:manualLayout>
      </c:layout>
      <c:lineChart>
        <c:grouping val="standard"/>
        <c:varyColors val="0"/>
        <c:ser>
          <c:idx val="0"/>
          <c:order val="0"/>
          <c:tx>
            <c:strRef>
              <c:f>Sheet3!$C$30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Sheet3!$D$29:$I$29</c:f>
              <c:strCache>
                <c:ptCount val="6"/>
                <c:pt idx="0">
                  <c:v>2k</c:v>
                </c:pt>
                <c:pt idx="1">
                  <c:v>4k</c:v>
                </c:pt>
                <c:pt idx="2">
                  <c:v>8k</c:v>
                </c:pt>
                <c:pt idx="3">
                  <c:v>16k</c:v>
                </c:pt>
                <c:pt idx="4">
                  <c:v>32k</c:v>
                </c:pt>
                <c:pt idx="5">
                  <c:v>64k</c:v>
                </c:pt>
              </c:strCache>
            </c:strRef>
          </c:cat>
          <c:val>
            <c:numRef>
              <c:f>Sheet3!$D$30:$I$30</c:f>
              <c:numCache>
                <c:formatCode>General</c:formatCode>
                <c:ptCount val="6"/>
                <c:pt idx="0">
                  <c:v>21499.998677</c:v>
                </c:pt>
                <c:pt idx="1">
                  <c:v>20499.998737999998</c:v>
                </c:pt>
                <c:pt idx="2">
                  <c:v>18499.998861</c:v>
                </c:pt>
                <c:pt idx="3">
                  <c:v>14499.999107</c:v>
                </c:pt>
                <c:pt idx="4">
                  <c:v>6499.9996000000001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Sheet3!$C$31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Sheet3!$D$29:$I$29</c:f>
              <c:strCache>
                <c:ptCount val="6"/>
                <c:pt idx="0">
                  <c:v>2k</c:v>
                </c:pt>
                <c:pt idx="1">
                  <c:v>4k</c:v>
                </c:pt>
                <c:pt idx="2">
                  <c:v>8k</c:v>
                </c:pt>
                <c:pt idx="3">
                  <c:v>16k</c:v>
                </c:pt>
                <c:pt idx="4">
                  <c:v>32k</c:v>
                </c:pt>
                <c:pt idx="5">
                  <c:v>64k</c:v>
                </c:pt>
              </c:strCache>
            </c:strRef>
          </c:cat>
          <c:val>
            <c:numRef>
              <c:f>Sheet3!$D$31:$I$31</c:f>
              <c:numCache>
                <c:formatCode>General</c:formatCode>
                <c:ptCount val="6"/>
                <c:pt idx="0">
                  <c:v>2118.2930379999998</c:v>
                </c:pt>
                <c:pt idx="1">
                  <c:v>1118.2934560000001</c:v>
                </c:pt>
                <c:pt idx="2">
                  <c:v>1.230753</c:v>
                </c:pt>
                <c:pt idx="3">
                  <c:v>2.4615049999999998</c:v>
                </c:pt>
                <c:pt idx="4">
                  <c:v>4.9230099999999997</c:v>
                </c:pt>
                <c:pt idx="5">
                  <c:v>9.8460199999999993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Sheet3!$C$32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Sheet3!$D$29:$I$29</c:f>
              <c:strCache>
                <c:ptCount val="6"/>
                <c:pt idx="0">
                  <c:v>2k</c:v>
                </c:pt>
                <c:pt idx="1">
                  <c:v>4k</c:v>
                </c:pt>
                <c:pt idx="2">
                  <c:v>8k</c:v>
                </c:pt>
                <c:pt idx="3">
                  <c:v>16k</c:v>
                </c:pt>
                <c:pt idx="4">
                  <c:v>32k</c:v>
                </c:pt>
                <c:pt idx="5">
                  <c:v>64k</c:v>
                </c:pt>
              </c:strCache>
            </c:strRef>
          </c:cat>
          <c:val>
            <c:numRef>
              <c:f>Sheet3!$D$32:$I$32</c:f>
              <c:numCache>
                <c:formatCode>General</c:formatCode>
                <c:ptCount val="6"/>
                <c:pt idx="0">
                  <c:v>2117.3338359999998</c:v>
                </c:pt>
                <c:pt idx="1">
                  <c:v>1117.335323</c:v>
                </c:pt>
                <c:pt idx="2">
                  <c:v>2.461522</c:v>
                </c:pt>
                <c:pt idx="3">
                  <c:v>4.9230429999999998</c:v>
                </c:pt>
                <c:pt idx="4">
                  <c:v>9.8460870000000007</c:v>
                </c:pt>
                <c:pt idx="5">
                  <c:v>19.692173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Sheet3!$C$33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Sheet3!$D$29:$I$29</c:f>
              <c:strCache>
                <c:ptCount val="6"/>
                <c:pt idx="0">
                  <c:v>2k</c:v>
                </c:pt>
                <c:pt idx="1">
                  <c:v>4k</c:v>
                </c:pt>
                <c:pt idx="2">
                  <c:v>8k</c:v>
                </c:pt>
                <c:pt idx="3">
                  <c:v>16k</c:v>
                </c:pt>
                <c:pt idx="4">
                  <c:v>32k</c:v>
                </c:pt>
                <c:pt idx="5">
                  <c:v>64k</c:v>
                </c:pt>
              </c:strCache>
            </c:strRef>
          </c:cat>
          <c:val>
            <c:numRef>
              <c:f>Sheet3!$D$33:$I$33</c:f>
              <c:numCache>
                <c:formatCode>General</c:formatCode>
                <c:ptCount val="6"/>
                <c:pt idx="0">
                  <c:v>1998.6415919999999</c:v>
                </c:pt>
                <c:pt idx="1">
                  <c:v>998.96164999999996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Span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</a:rPr>
                  <a:t>Response </a:t>
                </a:r>
                <a:r>
                  <a:rPr lang="en-US" baseline="0"/>
                  <a:t>Time (ms)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6.2360875776603872E-4"/>
              <c:y val="0.50318000292959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  <c:majorUnit val="8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641217561035589"/>
          <c:y val="0.50475240939774579"/>
          <c:w val="0.38255392707227348"/>
          <c:h val="0.28200425726281181"/>
        </c:manualLayout>
      </c:layout>
      <c:lineChart>
        <c:grouping val="standard"/>
        <c:varyColors val="0"/>
        <c:ser>
          <c:idx val="0"/>
          <c:order val="0"/>
          <c:tx>
            <c:strRef>
              <c:f>Sheet3!$C$38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Sheet3!$D$37:$I$37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Sheet3!$D$38:$I$38</c:f>
              <c:numCache>
                <c:formatCode>General</c:formatCode>
                <c:ptCount val="6"/>
                <c:pt idx="0">
                  <c:v>82499.994923000006</c:v>
                </c:pt>
                <c:pt idx="1">
                  <c:v>78499.995169000002</c:v>
                </c:pt>
                <c:pt idx="2">
                  <c:v>70499.995662000001</c:v>
                </c:pt>
                <c:pt idx="3">
                  <c:v>54499.996646</c:v>
                </c:pt>
                <c:pt idx="4">
                  <c:v>22499.998616000001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Sheet3!$C$39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Sheet3!$D$37:$I$37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Sheet3!$D$39:$I$39</c:f>
              <c:numCache>
                <c:formatCode>General</c:formatCode>
                <c:ptCount val="6"/>
                <c:pt idx="0">
                  <c:v>4315.448437</c:v>
                </c:pt>
                <c:pt idx="1">
                  <c:v>915.46774300000004</c:v>
                </c:pt>
                <c:pt idx="2">
                  <c:v>12.92301</c:v>
                </c:pt>
                <c:pt idx="3">
                  <c:v>9.8460199999999993</c:v>
                </c:pt>
                <c:pt idx="4">
                  <c:v>19.692039999999999</c:v>
                </c:pt>
                <c:pt idx="5">
                  <c:v>39.384079999999997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Sheet3!$C$40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Sheet3!$D$37:$I$37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Sheet3!$D$40:$I$40</c:f>
              <c:numCache>
                <c:formatCode>General</c:formatCode>
                <c:ptCount val="6"/>
                <c:pt idx="0">
                  <c:v>4312.8913229999998</c:v>
                </c:pt>
                <c:pt idx="1">
                  <c:v>912.96782099999996</c:v>
                </c:pt>
                <c:pt idx="2">
                  <c:v>27.846087000000001</c:v>
                </c:pt>
                <c:pt idx="3">
                  <c:v>19.692173</c:v>
                </c:pt>
                <c:pt idx="4">
                  <c:v>39.384346999999998</c:v>
                </c:pt>
                <c:pt idx="5">
                  <c:v>78.768693999999996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Sheet3!$C$41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Sheet3!$D$37:$I$37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Sheet3!$D$41:$I$41</c:f>
              <c:numCache>
                <c:formatCode>General</c:formatCode>
                <c:ptCount val="6"/>
                <c:pt idx="0">
                  <c:v>3996.804322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Span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</a:rPr>
                  <a:t>Response</a:t>
                </a:r>
                <a:r>
                  <a:rPr lang="en-US"/>
                  <a:t> Time (ms)</a:t>
                </a:r>
              </a:p>
            </c:rich>
          </c:tx>
          <c:layout>
            <c:manualLayout>
              <c:xMode val="edge"/>
              <c:yMode val="edge"/>
              <c:x val="2.9966871860616924E-2"/>
              <c:y val="0.48923516907173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  <c:majorUnit val="8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46595477067595"/>
          <c:y val="0.52010003353555356"/>
          <c:w val="0.3718173374144319"/>
          <c:h val="0.2666566369803442"/>
        </c:manualLayout>
      </c:layout>
      <c:lineChart>
        <c:grouping val="standard"/>
        <c:varyColors val="0"/>
        <c:ser>
          <c:idx val="0"/>
          <c:order val="0"/>
          <c:tx>
            <c:strRef>
              <c:f>Sheet3!$C$45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Sheet3!$D$44:$I$44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Sheet3!$D$45:$I$45</c:f>
              <c:numCache>
                <c:formatCode>General</c:formatCode>
                <c:ptCount val="6"/>
                <c:pt idx="0">
                  <c:v>55999.998776</c:v>
                </c:pt>
                <c:pt idx="1">
                  <c:v>51999.998864000001</c:v>
                </c:pt>
                <c:pt idx="2">
                  <c:v>43999.999039000002</c:v>
                </c:pt>
                <c:pt idx="3">
                  <c:v>27999.999389000001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Sheet3!$C$46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Sheet3!$D$44:$I$44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Sheet3!$D$46:$I$46</c:f>
              <c:numCache>
                <c:formatCode>General</c:formatCode>
                <c:ptCount val="6"/>
                <c:pt idx="0">
                  <c:v>4318.7556249999998</c:v>
                </c:pt>
                <c:pt idx="1">
                  <c:v>1318.7581070000001</c:v>
                </c:pt>
                <c:pt idx="2">
                  <c:v>80.750539000000003</c:v>
                </c:pt>
                <c:pt idx="3">
                  <c:v>13.501078</c:v>
                </c:pt>
                <c:pt idx="4">
                  <c:v>17.002157</c:v>
                </c:pt>
                <c:pt idx="5">
                  <c:v>24.004313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Sheet3!$C$47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Sheet3!$D$44:$I$44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Sheet3!$D$47:$I$47</c:f>
              <c:numCache>
                <c:formatCode>General</c:formatCode>
                <c:ptCount val="6"/>
                <c:pt idx="0">
                  <c:v>4317.8454879999999</c:v>
                </c:pt>
                <c:pt idx="1">
                  <c:v>1317.8551620000001</c:v>
                </c:pt>
                <c:pt idx="2">
                  <c:v>90.501425999999995</c:v>
                </c:pt>
                <c:pt idx="3">
                  <c:v>17.002852000000001</c:v>
                </c:pt>
                <c:pt idx="4">
                  <c:v>24.005704000000001</c:v>
                </c:pt>
                <c:pt idx="5">
                  <c:v>38.011408000000003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Sheet3!$C$48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Sheet3!$D$44:$I$44</c:f>
              <c:strCache>
                <c:ptCount val="6"/>
                <c:pt idx="0">
                  <c:v>8k</c:v>
                </c:pt>
                <c:pt idx="1">
                  <c:v>16k</c:v>
                </c:pt>
                <c:pt idx="2">
                  <c:v>32k</c:v>
                </c:pt>
                <c:pt idx="3">
                  <c:v>64k</c:v>
                </c:pt>
                <c:pt idx="4">
                  <c:v>128k</c:v>
                </c:pt>
                <c:pt idx="5">
                  <c:v>256k</c:v>
                </c:pt>
              </c:strCache>
            </c:strRef>
          </c:cat>
          <c:val>
            <c:numRef>
              <c:f>Sheet3!$D$48:$I$48</c:f>
              <c:numCache>
                <c:formatCode>General</c:formatCode>
                <c:ptCount val="6"/>
                <c:pt idx="0">
                  <c:v>3999.2235329999999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Span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</a:rPr>
                  <a:t>Response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  <c:majorUnit val="8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46595477067595"/>
          <c:y val="0.51964824022032774"/>
          <c:w val="0.37064359909038636"/>
          <c:h val="0.28830975928469449"/>
        </c:manualLayout>
      </c:layout>
      <c:lineChart>
        <c:grouping val="standard"/>
        <c:varyColors val="0"/>
        <c:ser>
          <c:idx val="0"/>
          <c:order val="0"/>
          <c:tx>
            <c:strRef>
              <c:f>Sheet3!$C$53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Sheet3!$D$52:$I$52</c:f>
              <c:strCache>
                <c:ptCount val="6"/>
                <c:pt idx="0">
                  <c:v>1k</c:v>
                </c:pt>
                <c:pt idx="1">
                  <c:v>2k</c:v>
                </c:pt>
                <c:pt idx="2">
                  <c:v>4k</c:v>
                </c:pt>
                <c:pt idx="3">
                  <c:v>8k</c:v>
                </c:pt>
                <c:pt idx="4">
                  <c:v>16k</c:v>
                </c:pt>
                <c:pt idx="5">
                  <c:v>32k</c:v>
                </c:pt>
              </c:strCache>
            </c:strRef>
          </c:cat>
          <c:val>
            <c:numRef>
              <c:f>Sheet3!$D$53:$I$53</c:f>
              <c:numCache>
                <c:formatCode>General</c:formatCode>
                <c:ptCount val="6"/>
                <c:pt idx="0">
                  <c:v>11999.999733000001</c:v>
                </c:pt>
                <c:pt idx="1">
                  <c:v>11499.999744000001</c:v>
                </c:pt>
                <c:pt idx="2">
                  <c:v>10499.999766000001</c:v>
                </c:pt>
                <c:pt idx="3">
                  <c:v>8499.9998090000008</c:v>
                </c:pt>
                <c:pt idx="4">
                  <c:v>4499.9998969999997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Sheet3!$C$54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Sheet3!$D$52:$I$52</c:f>
              <c:strCache>
                <c:ptCount val="6"/>
                <c:pt idx="0">
                  <c:v>1k</c:v>
                </c:pt>
                <c:pt idx="1">
                  <c:v>2k</c:v>
                </c:pt>
                <c:pt idx="2">
                  <c:v>4k</c:v>
                </c:pt>
                <c:pt idx="3">
                  <c:v>8k</c:v>
                </c:pt>
                <c:pt idx="4">
                  <c:v>16k</c:v>
                </c:pt>
                <c:pt idx="5">
                  <c:v>32k</c:v>
                </c:pt>
              </c:strCache>
            </c:strRef>
          </c:cat>
          <c:val>
            <c:numRef>
              <c:f>Sheet3!$D$54:$I$54</c:f>
              <c:numCache>
                <c:formatCode>General</c:formatCode>
                <c:ptCount val="6"/>
                <c:pt idx="0">
                  <c:v>1059.766668</c:v>
                </c:pt>
                <c:pt idx="1">
                  <c:v>959.76670200000001</c:v>
                </c:pt>
                <c:pt idx="2">
                  <c:v>1.218817</c:v>
                </c:pt>
                <c:pt idx="3">
                  <c:v>0.437635</c:v>
                </c:pt>
                <c:pt idx="4">
                  <c:v>0.87526999999999999</c:v>
                </c:pt>
                <c:pt idx="5">
                  <c:v>1.7505390000000001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Sheet3!$C$55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Sheet3!$D$52:$I$52</c:f>
              <c:strCache>
                <c:ptCount val="6"/>
                <c:pt idx="0">
                  <c:v>1k</c:v>
                </c:pt>
                <c:pt idx="1">
                  <c:v>2k</c:v>
                </c:pt>
                <c:pt idx="2">
                  <c:v>4k</c:v>
                </c:pt>
                <c:pt idx="3">
                  <c:v>8k</c:v>
                </c:pt>
                <c:pt idx="4">
                  <c:v>16k</c:v>
                </c:pt>
                <c:pt idx="5">
                  <c:v>32k</c:v>
                </c:pt>
              </c:strCache>
            </c:strRef>
          </c:cat>
          <c:val>
            <c:numRef>
              <c:f>Sheet3!$D$55:$I$55</c:f>
              <c:numCache>
                <c:formatCode>General</c:formatCode>
                <c:ptCount val="6"/>
                <c:pt idx="0">
                  <c:v>1059.596</c:v>
                </c:pt>
                <c:pt idx="1">
                  <c:v>959.59609999999998</c:v>
                </c:pt>
                <c:pt idx="2">
                  <c:v>1.437678</c:v>
                </c:pt>
                <c:pt idx="3">
                  <c:v>0.87535700000000005</c:v>
                </c:pt>
                <c:pt idx="4">
                  <c:v>1.750713</c:v>
                </c:pt>
                <c:pt idx="5">
                  <c:v>3.5014259999999999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Sheet3!$C$56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Sheet3!$D$52:$I$52</c:f>
              <c:strCache>
                <c:ptCount val="6"/>
                <c:pt idx="0">
                  <c:v>1k</c:v>
                </c:pt>
                <c:pt idx="1">
                  <c:v>2k</c:v>
                </c:pt>
                <c:pt idx="2">
                  <c:v>4k</c:v>
                </c:pt>
                <c:pt idx="3">
                  <c:v>8k</c:v>
                </c:pt>
                <c:pt idx="4">
                  <c:v>16k</c:v>
                </c:pt>
                <c:pt idx="5">
                  <c:v>32k</c:v>
                </c:pt>
              </c:strCache>
            </c:strRef>
          </c:cat>
          <c:val>
            <c:numRef>
              <c:f>Sheet3!$D$56:$I$56</c:f>
              <c:numCache>
                <c:formatCode>General</c:formatCode>
                <c:ptCount val="6"/>
                <c:pt idx="0">
                  <c:v>999.82596100000001</c:v>
                </c:pt>
                <c:pt idx="1">
                  <c:v>99.882863999999998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Span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</a:rPr>
                  <a:t>Response</a:t>
                </a:r>
                <a:r>
                  <a:rPr lang="en-US"/>
                  <a:t> </a:t>
                </a:r>
                <a:r>
                  <a:rPr lang="en-US" baseline="0"/>
                  <a:t>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  <c:majorUnit val="8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8794454159627"/>
          <c:y val="0.32407827378039078"/>
          <c:w val="0.43136680533993066"/>
          <c:h val="0.51134443766126148"/>
        </c:manualLayout>
      </c:layout>
      <c:lineChart>
        <c:grouping val="standard"/>
        <c:varyColors val="0"/>
        <c:ser>
          <c:idx val="0"/>
          <c:order val="0"/>
          <c:tx>
            <c:strRef>
              <c:f>Sheet5!$B$22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28575">
                <a:solidFill>
                  <a:schemeClr val="tx1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Sheet5!$C$22:$H$22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149.99996999999999</c:v>
                </c:pt>
                <c:pt idx="3">
                  <c:v>349.99993000000001</c:v>
                </c:pt>
                <c:pt idx="4">
                  <c:v>449.99991</c:v>
                </c:pt>
                <c:pt idx="5">
                  <c:v>499.99990000000003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D-5D46-9BC0-10C99897C0AC}"/>
            </c:ext>
          </c:extLst>
        </c:ser>
        <c:ser>
          <c:idx val="1"/>
          <c:order val="1"/>
          <c:tx>
            <c:strRef>
              <c:f>Sheet5!$B$23</c:f>
              <c:strCache>
                <c:ptCount val="1"/>
                <c:pt idx="0">
                  <c:v>GCSM-300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Sheet5!$C$23:$H$23</c:f>
              <c:numCache>
                <c:formatCode>General</c:formatCode>
                <c:ptCount val="6"/>
                <c:pt idx="0">
                  <c:v>409.13154400000002</c:v>
                </c:pt>
                <c:pt idx="1">
                  <c:v>1209.131363</c:v>
                </c:pt>
                <c:pt idx="2">
                  <c:v>1609.1312800000001</c:v>
                </c:pt>
                <c:pt idx="3">
                  <c:v>1809.1312390000001</c:v>
                </c:pt>
                <c:pt idx="4">
                  <c:v>1909.1312190000001</c:v>
                </c:pt>
                <c:pt idx="5">
                  <c:v>1959.131208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D-5D46-9BC0-10C99897C0AC}"/>
            </c:ext>
          </c:extLst>
        </c:ser>
        <c:ser>
          <c:idx val="2"/>
          <c:order val="2"/>
          <c:tx>
            <c:strRef>
              <c:f>Sheet5!$B$24</c:f>
              <c:strCache>
                <c:ptCount val="1"/>
                <c:pt idx="0">
                  <c:v>GCSM-1000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Sheet5!$C$24:$H$24</c:f>
              <c:numCache>
                <c:formatCode>General</c:formatCode>
                <c:ptCount val="6"/>
                <c:pt idx="0">
                  <c:v>1.3180909999999999</c:v>
                </c:pt>
                <c:pt idx="1">
                  <c:v>0.95904500000000004</c:v>
                </c:pt>
                <c:pt idx="2">
                  <c:v>202.655518</c:v>
                </c:pt>
                <c:pt idx="3">
                  <c:v>402.65544599999998</c:v>
                </c:pt>
                <c:pt idx="4">
                  <c:v>502.655418</c:v>
                </c:pt>
                <c:pt idx="5">
                  <c:v>552.65540499999997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D-5D46-9BC0-10C99897C0AC}"/>
            </c:ext>
          </c:extLst>
        </c:ser>
        <c:ser>
          <c:idx val="3"/>
          <c:order val="3"/>
          <c:tx>
            <c:strRef>
              <c:f>Sheet5!$B$25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Sheet5!$C$25:$H$25</c:f>
              <c:numCache>
                <c:formatCode>General</c:formatCode>
                <c:ptCount val="6"/>
                <c:pt idx="0">
                  <c:v>2.591723</c:v>
                </c:pt>
                <c:pt idx="1">
                  <c:v>1.7958609999999999</c:v>
                </c:pt>
                <c:pt idx="2">
                  <c:v>0.39793099999999998</c:v>
                </c:pt>
                <c:pt idx="3">
                  <c:v>0.59896499999999997</c:v>
                </c:pt>
                <c:pt idx="4">
                  <c:v>20.435717</c:v>
                </c:pt>
                <c:pt idx="5">
                  <c:v>30.435223000000001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D-5D46-9BC0-10C99897C0AC}"/>
            </c:ext>
          </c:extLst>
        </c:ser>
        <c:ser>
          <c:idx val="4"/>
          <c:order val="4"/>
          <c:tx>
            <c:strRef>
              <c:f>Sheet5!$B$26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Sheet5!$C$26:$H$26</c:f>
              <c:numCache>
                <c:formatCode>General</c:formatCode>
                <c:ptCount val="6"/>
                <c:pt idx="0">
                  <c:v>4.1822670000000004</c:v>
                </c:pt>
                <c:pt idx="1">
                  <c:v>1.991133</c:v>
                </c:pt>
                <c:pt idx="2">
                  <c:v>0.79556700000000002</c:v>
                </c:pt>
                <c:pt idx="3">
                  <c:v>1.397783</c:v>
                </c:pt>
                <c:pt idx="4">
                  <c:v>20.317623000000001</c:v>
                </c:pt>
                <c:pt idx="5">
                  <c:v>30.315677000000001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D-5D46-9BC0-10C99897C0AC}"/>
            </c:ext>
          </c:extLst>
        </c:ser>
        <c:ser>
          <c:idx val="5"/>
          <c:order val="5"/>
          <c:tx>
            <c:strRef>
              <c:f>Sheet5!$B$27</c:f>
              <c:strCache>
                <c:ptCount val="1"/>
                <c:pt idx="0">
                  <c:v>Our Goal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11"/>
            <c:spPr>
              <a:noFill/>
              <a:ln w="28575">
                <a:solidFill>
                  <a:schemeClr val="tx1"/>
                </a:solidFill>
              </a:ln>
              <a:effectLst/>
            </c:spPr>
          </c:marker>
          <c:cat>
            <c:numRef>
              <c:f>Sheet5!$C$21:$H$21</c:f>
              <c:numCache>
                <c:formatCode>General</c:formatCode>
                <c:ptCount val="6"/>
                <c:pt idx="0">
                  <c:v>3200</c:v>
                </c:pt>
                <c:pt idx="1">
                  <c:v>1600</c:v>
                </c:pt>
                <c:pt idx="2">
                  <c:v>800</c:v>
                </c:pt>
                <c:pt idx="3">
                  <c:v>400</c:v>
                </c:pt>
                <c:pt idx="4">
                  <c:v>200</c:v>
                </c:pt>
                <c:pt idx="5">
                  <c:v>100</c:v>
                </c:pt>
              </c:numCache>
            </c:numRef>
          </c:cat>
          <c:val>
            <c:numRef>
              <c:f>Sheet5!$C$27:$H$27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15.901866</c:v>
                </c:pt>
                <c:pt idx="5">
                  <c:v>30.850135000000002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7D-5D46-9BC0-10C99897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596975"/>
        <c:axId val="1193591535"/>
      </c:lineChart>
      <c:catAx>
        <c:axId val="11935969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et Traffic (low -&gt; high)</a:t>
                </a:r>
              </a:p>
            </c:rich>
          </c:tx>
          <c:layout>
            <c:manualLayout>
              <c:xMode val="edge"/>
              <c:yMode val="edge"/>
              <c:x val="0.25786824276110648"/>
              <c:y val="0.88287178214973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93591535"/>
        <c:crossesAt val="0.125"/>
        <c:auto val="1"/>
        <c:lblAlgn val="ctr"/>
        <c:lblOffset val="100"/>
        <c:noMultiLvlLbl val="0"/>
      </c:catAx>
      <c:valAx>
        <c:axId val="1193591535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Response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Time (s)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3596975"/>
        <c:crosses val="autoZero"/>
        <c:crossBetween val="between"/>
        <c:majorUnit val="8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4094854387863662"/>
          <c:y val="0.10913286262858884"/>
          <c:w val="0.40563726873343592"/>
          <c:h val="0.187455960163703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30796150481191"/>
          <c:y val="0.2120953630796151"/>
          <c:w val="0.54625570330973627"/>
          <c:h val="0.49168103874731922"/>
        </c:manualLayout>
      </c:layout>
      <c:lineChart>
        <c:grouping val="standard"/>
        <c:varyColors val="0"/>
        <c:ser>
          <c:idx val="0"/>
          <c:order val="0"/>
          <c:tx>
            <c:strRef>
              <c:f>Sheet5!$B$43</c:f>
              <c:strCache>
                <c:ptCount val="1"/>
                <c:pt idx="0">
                  <c:v>GCSM-128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Sheet5!$C$42:$M$42</c:f>
              <c:strCache>
                <c:ptCount val="11"/>
                <c:pt idx="0">
                  <c:v>0.05k</c:v>
                </c:pt>
                <c:pt idx="1">
                  <c:v>0.1k</c:v>
                </c:pt>
                <c:pt idx="2">
                  <c:v>0.2k</c:v>
                </c:pt>
                <c:pt idx="3">
                  <c:v>0.4k</c:v>
                </c:pt>
                <c:pt idx="4">
                  <c:v>0.7k</c:v>
                </c:pt>
                <c:pt idx="5">
                  <c:v>1.5k</c:v>
                </c:pt>
                <c:pt idx="6">
                  <c:v>3k</c:v>
                </c:pt>
                <c:pt idx="7">
                  <c:v>6k</c:v>
                </c:pt>
                <c:pt idx="8">
                  <c:v>12k</c:v>
                </c:pt>
                <c:pt idx="9">
                  <c:v>25k</c:v>
                </c:pt>
                <c:pt idx="10">
                  <c:v>50k</c:v>
                </c:pt>
              </c:strCache>
            </c:strRef>
          </c:cat>
          <c:val>
            <c:numRef>
              <c:f>Sheet5!$C$43:$M$43</c:f>
              <c:numCache>
                <c:formatCode>General</c:formatCode>
                <c:ptCount val="11"/>
                <c:pt idx="0">
                  <c:v>1.2940389999999999</c:v>
                </c:pt>
                <c:pt idx="1">
                  <c:v>0.64702000000000004</c:v>
                </c:pt>
                <c:pt idx="2">
                  <c:v>0.32351000000000002</c:v>
                </c:pt>
                <c:pt idx="3">
                  <c:v>0.16175500000000001</c:v>
                </c:pt>
                <c:pt idx="4">
                  <c:v>1509.063079</c:v>
                </c:pt>
                <c:pt idx="5">
                  <c:v>3109.0627559999998</c:v>
                </c:pt>
                <c:pt idx="6">
                  <c:v>3909.0625960000002</c:v>
                </c:pt>
                <c:pt idx="7">
                  <c:v>4309.062516</c:v>
                </c:pt>
                <c:pt idx="8">
                  <c:v>4509.0624760000001</c:v>
                </c:pt>
                <c:pt idx="9">
                  <c:v>4609.0624559999997</c:v>
                </c:pt>
                <c:pt idx="10">
                  <c:v>4659.0624459999999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6-3D4F-BDE8-FB8651161AA1}"/>
            </c:ext>
          </c:extLst>
        </c:ser>
        <c:ser>
          <c:idx val="1"/>
          <c:order val="1"/>
          <c:tx>
            <c:strRef>
              <c:f>Sheet5!$B$44</c:f>
              <c:strCache>
                <c:ptCount val="1"/>
                <c:pt idx="0">
                  <c:v>GCSM-4096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Sheet5!$C$42:$M$42</c:f>
              <c:strCache>
                <c:ptCount val="11"/>
                <c:pt idx="0">
                  <c:v>0.05k</c:v>
                </c:pt>
                <c:pt idx="1">
                  <c:v>0.1k</c:v>
                </c:pt>
                <c:pt idx="2">
                  <c:v>0.2k</c:v>
                </c:pt>
                <c:pt idx="3">
                  <c:v>0.4k</c:v>
                </c:pt>
                <c:pt idx="4">
                  <c:v>0.7k</c:v>
                </c:pt>
                <c:pt idx="5">
                  <c:v>1.5k</c:v>
                </c:pt>
                <c:pt idx="6">
                  <c:v>3k</c:v>
                </c:pt>
                <c:pt idx="7">
                  <c:v>6k</c:v>
                </c:pt>
                <c:pt idx="8">
                  <c:v>12k</c:v>
                </c:pt>
                <c:pt idx="9">
                  <c:v>25k</c:v>
                </c:pt>
                <c:pt idx="10">
                  <c:v>50k</c:v>
                </c:pt>
              </c:strCache>
            </c:strRef>
          </c:cat>
          <c:val>
            <c:numRef>
              <c:f>Sheet5!$C$44:$M$44</c:f>
              <c:numCache>
                <c:formatCode>General</c:formatCode>
                <c:ptCount val="11"/>
                <c:pt idx="0">
                  <c:v>41.719361999999997</c:v>
                </c:pt>
                <c:pt idx="1">
                  <c:v>20.859680999999998</c:v>
                </c:pt>
                <c:pt idx="2">
                  <c:v>10.42984</c:v>
                </c:pt>
                <c:pt idx="3">
                  <c:v>5.2149200000000002</c:v>
                </c:pt>
                <c:pt idx="4">
                  <c:v>2.6074600000000001</c:v>
                </c:pt>
                <c:pt idx="5">
                  <c:v>1.3037300000000001</c:v>
                </c:pt>
                <c:pt idx="6">
                  <c:v>0.65186500000000003</c:v>
                </c:pt>
                <c:pt idx="7">
                  <c:v>0.32593299999999997</c:v>
                </c:pt>
                <c:pt idx="8">
                  <c:v>0.162966</c:v>
                </c:pt>
                <c:pt idx="9">
                  <c:v>47.042239000000002</c:v>
                </c:pt>
                <c:pt idx="10">
                  <c:v>97.042085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6-3D4F-BDE8-FB8651161AA1}"/>
            </c:ext>
          </c:extLst>
        </c:ser>
        <c:ser>
          <c:idx val="2"/>
          <c:order val="2"/>
          <c:tx>
            <c:strRef>
              <c:f>Sheet5!$B$45</c:f>
              <c:strCache>
                <c:ptCount val="1"/>
                <c:pt idx="0">
                  <c:v>Our System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star"/>
            <c:size val="10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Sheet5!$C$42:$M$42</c:f>
              <c:strCache>
                <c:ptCount val="11"/>
                <c:pt idx="0">
                  <c:v>0.05k</c:v>
                </c:pt>
                <c:pt idx="1">
                  <c:v>0.1k</c:v>
                </c:pt>
                <c:pt idx="2">
                  <c:v>0.2k</c:v>
                </c:pt>
                <c:pt idx="3">
                  <c:v>0.4k</c:v>
                </c:pt>
                <c:pt idx="4">
                  <c:v>0.7k</c:v>
                </c:pt>
                <c:pt idx="5">
                  <c:v>1.5k</c:v>
                </c:pt>
                <c:pt idx="6">
                  <c:v>3k</c:v>
                </c:pt>
                <c:pt idx="7">
                  <c:v>6k</c:v>
                </c:pt>
                <c:pt idx="8">
                  <c:v>12k</c:v>
                </c:pt>
                <c:pt idx="9">
                  <c:v>25k</c:v>
                </c:pt>
                <c:pt idx="10">
                  <c:v>50k</c:v>
                </c:pt>
              </c:strCache>
            </c:strRef>
          </c:cat>
          <c:val>
            <c:numRef>
              <c:f>Sheet5!$C$45:$M$45</c:f>
              <c:numCache>
                <c:formatCode>General</c:formatCode>
                <c:ptCount val="11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15.901866</c:v>
                </c:pt>
                <c:pt idx="10">
                  <c:v>30.350135000000002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6-3D4F-BDE8-FB8651161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079296"/>
        <c:axId val="1116081008"/>
      </c:lineChart>
      <c:catAx>
        <c:axId val="111607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Edge</a:t>
                </a:r>
                <a:r>
                  <a:rPr lang="en-US" sz="16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Updates / Second</a:t>
                </a:r>
                <a:endParaRPr lang="en-US" sz="16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6081008"/>
        <c:crossesAt val="0.125"/>
        <c:auto val="1"/>
        <c:lblAlgn val="ctr"/>
        <c:lblOffset val="100"/>
        <c:noMultiLvlLbl val="0"/>
      </c:catAx>
      <c:valAx>
        <c:axId val="111608100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</a:t>
                </a:r>
                <a:r>
                  <a:rPr lang="en-US" sz="16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Time (s)</a:t>
                </a:r>
                <a:endParaRPr lang="en-US" sz="16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3849697576520905E-2"/>
              <c:y val="0.14429794373072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6079296"/>
        <c:crosses val="autoZero"/>
        <c:crossBetween val="between"/>
        <c:majorUnit val="8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3547875490010248"/>
          <c:y val="9.689296407850663E-2"/>
          <c:w val="0.48964289847876663"/>
          <c:h val="0.10968175853018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2659667541558"/>
          <c:y val="0.21377512813626562"/>
          <c:w val="0.5462308932898603"/>
          <c:h val="0.48812279482708887"/>
        </c:manualLayout>
      </c:layout>
      <c:lineChart>
        <c:grouping val="standard"/>
        <c:varyColors val="0"/>
        <c:ser>
          <c:idx val="0"/>
          <c:order val="0"/>
          <c:tx>
            <c:strRef>
              <c:f>Sheet5!$C$52</c:f>
              <c:strCache>
                <c:ptCount val="1"/>
                <c:pt idx="0">
                  <c:v>GCSM-128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Sheet5!$B$53:$B$152</c:f>
              <c:numCache>
                <c:formatCode>General</c:formatCode>
                <c:ptCount val="100"/>
                <c:pt idx="0">
                  <c:v>11</c:v>
                </c:pt>
                <c:pt idx="1">
                  <c:v>22</c:v>
                </c:pt>
                <c:pt idx="2">
                  <c:v>33</c:v>
                </c:pt>
                <c:pt idx="3">
                  <c:v>44</c:v>
                </c:pt>
                <c:pt idx="4">
                  <c:v>55</c:v>
                </c:pt>
                <c:pt idx="5">
                  <c:v>66</c:v>
                </c:pt>
                <c:pt idx="6">
                  <c:v>77</c:v>
                </c:pt>
                <c:pt idx="7">
                  <c:v>88</c:v>
                </c:pt>
                <c:pt idx="8">
                  <c:v>99</c:v>
                </c:pt>
                <c:pt idx="9">
                  <c:v>110</c:v>
                </c:pt>
                <c:pt idx="10">
                  <c:v>121</c:v>
                </c:pt>
                <c:pt idx="11">
                  <c:v>132</c:v>
                </c:pt>
                <c:pt idx="12">
                  <c:v>143</c:v>
                </c:pt>
                <c:pt idx="13">
                  <c:v>154</c:v>
                </c:pt>
                <c:pt idx="14">
                  <c:v>165</c:v>
                </c:pt>
                <c:pt idx="15">
                  <c:v>176</c:v>
                </c:pt>
                <c:pt idx="16">
                  <c:v>187</c:v>
                </c:pt>
                <c:pt idx="17">
                  <c:v>198</c:v>
                </c:pt>
                <c:pt idx="18">
                  <c:v>209</c:v>
                </c:pt>
                <c:pt idx="19">
                  <c:v>220</c:v>
                </c:pt>
                <c:pt idx="20">
                  <c:v>231</c:v>
                </c:pt>
                <c:pt idx="21">
                  <c:v>242</c:v>
                </c:pt>
                <c:pt idx="22">
                  <c:v>253</c:v>
                </c:pt>
                <c:pt idx="23">
                  <c:v>264</c:v>
                </c:pt>
                <c:pt idx="24">
                  <c:v>275</c:v>
                </c:pt>
                <c:pt idx="25">
                  <c:v>286</c:v>
                </c:pt>
                <c:pt idx="26">
                  <c:v>297</c:v>
                </c:pt>
                <c:pt idx="27">
                  <c:v>308</c:v>
                </c:pt>
                <c:pt idx="28">
                  <c:v>319</c:v>
                </c:pt>
                <c:pt idx="29">
                  <c:v>330</c:v>
                </c:pt>
                <c:pt idx="30">
                  <c:v>341</c:v>
                </c:pt>
                <c:pt idx="31">
                  <c:v>352</c:v>
                </c:pt>
                <c:pt idx="32">
                  <c:v>363</c:v>
                </c:pt>
                <c:pt idx="33">
                  <c:v>374</c:v>
                </c:pt>
                <c:pt idx="34">
                  <c:v>385</c:v>
                </c:pt>
                <c:pt idx="35">
                  <c:v>396</c:v>
                </c:pt>
                <c:pt idx="36">
                  <c:v>407</c:v>
                </c:pt>
                <c:pt idx="37">
                  <c:v>418</c:v>
                </c:pt>
                <c:pt idx="38">
                  <c:v>429</c:v>
                </c:pt>
                <c:pt idx="39">
                  <c:v>440</c:v>
                </c:pt>
                <c:pt idx="40">
                  <c:v>451</c:v>
                </c:pt>
                <c:pt idx="41">
                  <c:v>462</c:v>
                </c:pt>
                <c:pt idx="42">
                  <c:v>473</c:v>
                </c:pt>
                <c:pt idx="43">
                  <c:v>484</c:v>
                </c:pt>
                <c:pt idx="44">
                  <c:v>495</c:v>
                </c:pt>
                <c:pt idx="45">
                  <c:v>506</c:v>
                </c:pt>
                <c:pt idx="46">
                  <c:v>517</c:v>
                </c:pt>
                <c:pt idx="47">
                  <c:v>528</c:v>
                </c:pt>
                <c:pt idx="48">
                  <c:v>539</c:v>
                </c:pt>
                <c:pt idx="49">
                  <c:v>550</c:v>
                </c:pt>
                <c:pt idx="50">
                  <c:v>561</c:v>
                </c:pt>
                <c:pt idx="51">
                  <c:v>572</c:v>
                </c:pt>
                <c:pt idx="52">
                  <c:v>583</c:v>
                </c:pt>
                <c:pt idx="53">
                  <c:v>594</c:v>
                </c:pt>
                <c:pt idx="54">
                  <c:v>605</c:v>
                </c:pt>
                <c:pt idx="55">
                  <c:v>616</c:v>
                </c:pt>
                <c:pt idx="56">
                  <c:v>627</c:v>
                </c:pt>
                <c:pt idx="57">
                  <c:v>638</c:v>
                </c:pt>
                <c:pt idx="58">
                  <c:v>649</c:v>
                </c:pt>
                <c:pt idx="59">
                  <c:v>660</c:v>
                </c:pt>
                <c:pt idx="60">
                  <c:v>671</c:v>
                </c:pt>
                <c:pt idx="61">
                  <c:v>682</c:v>
                </c:pt>
                <c:pt idx="62">
                  <c:v>693</c:v>
                </c:pt>
                <c:pt idx="63">
                  <c:v>704</c:v>
                </c:pt>
                <c:pt idx="64">
                  <c:v>715</c:v>
                </c:pt>
                <c:pt idx="65">
                  <c:v>726</c:v>
                </c:pt>
                <c:pt idx="66">
                  <c:v>737</c:v>
                </c:pt>
                <c:pt idx="67">
                  <c:v>748</c:v>
                </c:pt>
                <c:pt idx="68">
                  <c:v>759</c:v>
                </c:pt>
                <c:pt idx="69">
                  <c:v>770</c:v>
                </c:pt>
                <c:pt idx="70">
                  <c:v>781</c:v>
                </c:pt>
                <c:pt idx="71">
                  <c:v>792</c:v>
                </c:pt>
                <c:pt idx="72">
                  <c:v>803</c:v>
                </c:pt>
                <c:pt idx="73">
                  <c:v>814</c:v>
                </c:pt>
                <c:pt idx="74">
                  <c:v>825</c:v>
                </c:pt>
                <c:pt idx="75">
                  <c:v>836</c:v>
                </c:pt>
                <c:pt idx="76">
                  <c:v>847</c:v>
                </c:pt>
                <c:pt idx="77">
                  <c:v>858</c:v>
                </c:pt>
                <c:pt idx="78">
                  <c:v>869</c:v>
                </c:pt>
                <c:pt idx="79">
                  <c:v>880</c:v>
                </c:pt>
                <c:pt idx="80">
                  <c:v>891</c:v>
                </c:pt>
                <c:pt idx="81">
                  <c:v>902</c:v>
                </c:pt>
                <c:pt idx="82">
                  <c:v>913</c:v>
                </c:pt>
                <c:pt idx="83">
                  <c:v>924</c:v>
                </c:pt>
                <c:pt idx="84">
                  <c:v>935</c:v>
                </c:pt>
                <c:pt idx="85">
                  <c:v>946</c:v>
                </c:pt>
                <c:pt idx="86">
                  <c:v>957</c:v>
                </c:pt>
                <c:pt idx="87">
                  <c:v>968</c:v>
                </c:pt>
                <c:pt idx="88">
                  <c:v>979</c:v>
                </c:pt>
                <c:pt idx="89">
                  <c:v>990</c:v>
                </c:pt>
                <c:pt idx="90">
                  <c:v>1001</c:v>
                </c:pt>
                <c:pt idx="91">
                  <c:v>1012</c:v>
                </c:pt>
                <c:pt idx="92">
                  <c:v>1023</c:v>
                </c:pt>
                <c:pt idx="93">
                  <c:v>1034</c:v>
                </c:pt>
                <c:pt idx="94">
                  <c:v>1045</c:v>
                </c:pt>
                <c:pt idx="95">
                  <c:v>1056</c:v>
                </c:pt>
                <c:pt idx="96">
                  <c:v>1067</c:v>
                </c:pt>
                <c:pt idx="97">
                  <c:v>1078</c:v>
                </c:pt>
                <c:pt idx="98">
                  <c:v>1089</c:v>
                </c:pt>
                <c:pt idx="99">
                  <c:v>1100</c:v>
                </c:pt>
              </c:numCache>
            </c:numRef>
          </c:cat>
          <c:val>
            <c:numRef>
              <c:f>Sheet5!$C$53:$C$152</c:f>
              <c:numCache>
                <c:formatCode>General</c:formatCode>
                <c:ptCount val="100"/>
                <c:pt idx="0">
                  <c:v>1.89</c:v>
                </c:pt>
                <c:pt idx="1">
                  <c:v>1.52</c:v>
                </c:pt>
                <c:pt idx="2">
                  <c:v>2.08</c:v>
                </c:pt>
                <c:pt idx="3">
                  <c:v>2.04</c:v>
                </c:pt>
                <c:pt idx="4">
                  <c:v>2.37</c:v>
                </c:pt>
                <c:pt idx="5">
                  <c:v>2.23</c:v>
                </c:pt>
                <c:pt idx="6">
                  <c:v>1.63</c:v>
                </c:pt>
                <c:pt idx="7">
                  <c:v>2.33</c:v>
                </c:pt>
                <c:pt idx="8">
                  <c:v>1.99</c:v>
                </c:pt>
                <c:pt idx="9">
                  <c:v>2.17</c:v>
                </c:pt>
                <c:pt idx="10">
                  <c:v>2.36</c:v>
                </c:pt>
                <c:pt idx="11">
                  <c:v>1.78</c:v>
                </c:pt>
                <c:pt idx="12">
                  <c:v>1.83</c:v>
                </c:pt>
                <c:pt idx="13">
                  <c:v>2.2799999999999998</c:v>
                </c:pt>
                <c:pt idx="14">
                  <c:v>1.81</c:v>
                </c:pt>
                <c:pt idx="15">
                  <c:v>1.73</c:v>
                </c:pt>
                <c:pt idx="16">
                  <c:v>1.94</c:v>
                </c:pt>
                <c:pt idx="17">
                  <c:v>2.16</c:v>
                </c:pt>
                <c:pt idx="18">
                  <c:v>1.87</c:v>
                </c:pt>
                <c:pt idx="19">
                  <c:v>1.6</c:v>
                </c:pt>
                <c:pt idx="20">
                  <c:v>1.68</c:v>
                </c:pt>
                <c:pt idx="21">
                  <c:v>1.87</c:v>
                </c:pt>
                <c:pt idx="22">
                  <c:v>2.2599999999999998</c:v>
                </c:pt>
                <c:pt idx="23">
                  <c:v>2.38</c:v>
                </c:pt>
                <c:pt idx="24">
                  <c:v>1.85</c:v>
                </c:pt>
                <c:pt idx="25">
                  <c:v>1.98</c:v>
                </c:pt>
                <c:pt idx="26">
                  <c:v>2.31</c:v>
                </c:pt>
                <c:pt idx="27">
                  <c:v>2.0099999999999998</c:v>
                </c:pt>
                <c:pt idx="28">
                  <c:v>1.59</c:v>
                </c:pt>
                <c:pt idx="29">
                  <c:v>1.56</c:v>
                </c:pt>
                <c:pt idx="30">
                  <c:v>1.74</c:v>
                </c:pt>
                <c:pt idx="31">
                  <c:v>2.36</c:v>
                </c:pt>
                <c:pt idx="32">
                  <c:v>1.85</c:v>
                </c:pt>
                <c:pt idx="33">
                  <c:v>1.92</c:v>
                </c:pt>
                <c:pt idx="34">
                  <c:v>2.0699999999999998</c:v>
                </c:pt>
                <c:pt idx="35">
                  <c:v>2.29</c:v>
                </c:pt>
                <c:pt idx="36">
                  <c:v>2.2400000000000002</c:v>
                </c:pt>
                <c:pt idx="37">
                  <c:v>2.27</c:v>
                </c:pt>
                <c:pt idx="38">
                  <c:v>2.33</c:v>
                </c:pt>
                <c:pt idx="39">
                  <c:v>2.02</c:v>
                </c:pt>
                <c:pt idx="40">
                  <c:v>1.68</c:v>
                </c:pt>
                <c:pt idx="41">
                  <c:v>1.68</c:v>
                </c:pt>
                <c:pt idx="42">
                  <c:v>2.2000000000000002</c:v>
                </c:pt>
                <c:pt idx="43">
                  <c:v>1.7</c:v>
                </c:pt>
                <c:pt idx="44">
                  <c:v>2.3199999999999998</c:v>
                </c:pt>
                <c:pt idx="45">
                  <c:v>1.55</c:v>
                </c:pt>
                <c:pt idx="46">
                  <c:v>2.25</c:v>
                </c:pt>
                <c:pt idx="47">
                  <c:v>1.77</c:v>
                </c:pt>
                <c:pt idx="48">
                  <c:v>1.92</c:v>
                </c:pt>
                <c:pt idx="49">
                  <c:v>1.64</c:v>
                </c:pt>
                <c:pt idx="50">
                  <c:v>1.82</c:v>
                </c:pt>
                <c:pt idx="51">
                  <c:v>2.0699999999999998</c:v>
                </c:pt>
                <c:pt idx="52">
                  <c:v>1.72</c:v>
                </c:pt>
                <c:pt idx="53">
                  <c:v>1.74</c:v>
                </c:pt>
                <c:pt idx="54">
                  <c:v>1.66</c:v>
                </c:pt>
                <c:pt idx="55">
                  <c:v>2.2000000000000002</c:v>
                </c:pt>
                <c:pt idx="56">
                  <c:v>1.85</c:v>
                </c:pt>
                <c:pt idx="57">
                  <c:v>2.0699999999999998</c:v>
                </c:pt>
                <c:pt idx="58">
                  <c:v>2.14</c:v>
                </c:pt>
                <c:pt idx="59">
                  <c:v>2.27</c:v>
                </c:pt>
                <c:pt idx="60">
                  <c:v>2.27</c:v>
                </c:pt>
                <c:pt idx="61">
                  <c:v>2.17</c:v>
                </c:pt>
                <c:pt idx="62">
                  <c:v>1.68</c:v>
                </c:pt>
                <c:pt idx="63">
                  <c:v>2.13</c:v>
                </c:pt>
                <c:pt idx="64">
                  <c:v>1.68</c:v>
                </c:pt>
                <c:pt idx="65">
                  <c:v>1.65</c:v>
                </c:pt>
                <c:pt idx="66">
                  <c:v>1.66</c:v>
                </c:pt>
                <c:pt idx="67">
                  <c:v>2.4</c:v>
                </c:pt>
                <c:pt idx="68">
                  <c:v>1.8</c:v>
                </c:pt>
                <c:pt idx="69">
                  <c:v>1.55</c:v>
                </c:pt>
                <c:pt idx="70">
                  <c:v>2</c:v>
                </c:pt>
                <c:pt idx="71">
                  <c:v>2.09</c:v>
                </c:pt>
                <c:pt idx="72">
                  <c:v>1.56</c:v>
                </c:pt>
                <c:pt idx="73">
                  <c:v>2.14</c:v>
                </c:pt>
                <c:pt idx="74">
                  <c:v>2.04</c:v>
                </c:pt>
                <c:pt idx="75">
                  <c:v>2.29</c:v>
                </c:pt>
                <c:pt idx="76">
                  <c:v>2.13</c:v>
                </c:pt>
                <c:pt idx="77">
                  <c:v>1.7</c:v>
                </c:pt>
                <c:pt idx="78">
                  <c:v>1.98</c:v>
                </c:pt>
                <c:pt idx="79">
                  <c:v>2.06</c:v>
                </c:pt>
                <c:pt idx="80">
                  <c:v>1.65</c:v>
                </c:pt>
                <c:pt idx="81">
                  <c:v>2</c:v>
                </c:pt>
                <c:pt idx="82">
                  <c:v>2.15</c:v>
                </c:pt>
                <c:pt idx="83">
                  <c:v>2.38</c:v>
                </c:pt>
                <c:pt idx="84">
                  <c:v>2.38</c:v>
                </c:pt>
                <c:pt idx="85">
                  <c:v>2.09</c:v>
                </c:pt>
                <c:pt idx="86">
                  <c:v>2.14</c:v>
                </c:pt>
                <c:pt idx="87">
                  <c:v>1.97</c:v>
                </c:pt>
                <c:pt idx="88">
                  <c:v>1.69</c:v>
                </c:pt>
                <c:pt idx="89">
                  <c:v>2.2999999999999998</c:v>
                </c:pt>
                <c:pt idx="90">
                  <c:v>2.35</c:v>
                </c:pt>
                <c:pt idx="91">
                  <c:v>2.38</c:v>
                </c:pt>
                <c:pt idx="92">
                  <c:v>1.65</c:v>
                </c:pt>
                <c:pt idx="93">
                  <c:v>1.89</c:v>
                </c:pt>
                <c:pt idx="94">
                  <c:v>1.96</c:v>
                </c:pt>
                <c:pt idx="95">
                  <c:v>1.55</c:v>
                </c:pt>
                <c:pt idx="96">
                  <c:v>1.55</c:v>
                </c:pt>
                <c:pt idx="97">
                  <c:v>1.57</c:v>
                </c:pt>
                <c:pt idx="98">
                  <c:v>1.98</c:v>
                </c:pt>
                <c:pt idx="99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C-7C41-8F93-619590E95177}"/>
            </c:ext>
          </c:extLst>
        </c:ser>
        <c:ser>
          <c:idx val="1"/>
          <c:order val="1"/>
          <c:tx>
            <c:strRef>
              <c:f>Sheet5!$D$52</c:f>
              <c:strCache>
                <c:ptCount val="1"/>
                <c:pt idx="0">
                  <c:v>GCSM-4096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Sheet5!$B$53:$B$152</c:f>
              <c:numCache>
                <c:formatCode>General</c:formatCode>
                <c:ptCount val="100"/>
                <c:pt idx="0">
                  <c:v>11</c:v>
                </c:pt>
                <c:pt idx="1">
                  <c:v>22</c:v>
                </c:pt>
                <c:pt idx="2">
                  <c:v>33</c:v>
                </c:pt>
                <c:pt idx="3">
                  <c:v>44</c:v>
                </c:pt>
                <c:pt idx="4">
                  <c:v>55</c:v>
                </c:pt>
                <c:pt idx="5">
                  <c:v>66</c:v>
                </c:pt>
                <c:pt idx="6">
                  <c:v>77</c:v>
                </c:pt>
                <c:pt idx="7">
                  <c:v>88</c:v>
                </c:pt>
                <c:pt idx="8">
                  <c:v>99</c:v>
                </c:pt>
                <c:pt idx="9">
                  <c:v>110</c:v>
                </c:pt>
                <c:pt idx="10">
                  <c:v>121</c:v>
                </c:pt>
                <c:pt idx="11">
                  <c:v>132</c:v>
                </c:pt>
                <c:pt idx="12">
                  <c:v>143</c:v>
                </c:pt>
                <c:pt idx="13">
                  <c:v>154</c:v>
                </c:pt>
                <c:pt idx="14">
                  <c:v>165</c:v>
                </c:pt>
                <c:pt idx="15">
                  <c:v>176</c:v>
                </c:pt>
                <c:pt idx="16">
                  <c:v>187</c:v>
                </c:pt>
                <c:pt idx="17">
                  <c:v>198</c:v>
                </c:pt>
                <c:pt idx="18">
                  <c:v>209</c:v>
                </c:pt>
                <c:pt idx="19">
                  <c:v>220</c:v>
                </c:pt>
                <c:pt idx="20">
                  <c:v>231</c:v>
                </c:pt>
                <c:pt idx="21">
                  <c:v>242</c:v>
                </c:pt>
                <c:pt idx="22">
                  <c:v>253</c:v>
                </c:pt>
                <c:pt idx="23">
                  <c:v>264</c:v>
                </c:pt>
                <c:pt idx="24">
                  <c:v>275</c:v>
                </c:pt>
                <c:pt idx="25">
                  <c:v>286</c:v>
                </c:pt>
                <c:pt idx="26">
                  <c:v>297</c:v>
                </c:pt>
                <c:pt idx="27">
                  <c:v>308</c:v>
                </c:pt>
                <c:pt idx="28">
                  <c:v>319</c:v>
                </c:pt>
                <c:pt idx="29">
                  <c:v>330</c:v>
                </c:pt>
                <c:pt idx="30">
                  <c:v>341</c:v>
                </c:pt>
                <c:pt idx="31">
                  <c:v>352</c:v>
                </c:pt>
                <c:pt idx="32">
                  <c:v>363</c:v>
                </c:pt>
                <c:pt idx="33">
                  <c:v>374</c:v>
                </c:pt>
                <c:pt idx="34">
                  <c:v>385</c:v>
                </c:pt>
                <c:pt idx="35">
                  <c:v>396</c:v>
                </c:pt>
                <c:pt idx="36">
                  <c:v>407</c:v>
                </c:pt>
                <c:pt idx="37">
                  <c:v>418</c:v>
                </c:pt>
                <c:pt idx="38">
                  <c:v>429</c:v>
                </c:pt>
                <c:pt idx="39">
                  <c:v>440</c:v>
                </c:pt>
                <c:pt idx="40">
                  <c:v>451</c:v>
                </c:pt>
                <c:pt idx="41">
                  <c:v>462</c:v>
                </c:pt>
                <c:pt idx="42">
                  <c:v>473</c:v>
                </c:pt>
                <c:pt idx="43">
                  <c:v>484</c:v>
                </c:pt>
                <c:pt idx="44">
                  <c:v>495</c:v>
                </c:pt>
                <c:pt idx="45">
                  <c:v>506</c:v>
                </c:pt>
                <c:pt idx="46">
                  <c:v>517</c:v>
                </c:pt>
                <c:pt idx="47">
                  <c:v>528</c:v>
                </c:pt>
                <c:pt idx="48">
                  <c:v>539</c:v>
                </c:pt>
                <c:pt idx="49">
                  <c:v>550</c:v>
                </c:pt>
                <c:pt idx="50">
                  <c:v>561</c:v>
                </c:pt>
                <c:pt idx="51">
                  <c:v>572</c:v>
                </c:pt>
                <c:pt idx="52">
                  <c:v>583</c:v>
                </c:pt>
                <c:pt idx="53">
                  <c:v>594</c:v>
                </c:pt>
                <c:pt idx="54">
                  <c:v>605</c:v>
                </c:pt>
                <c:pt idx="55">
                  <c:v>616</c:v>
                </c:pt>
                <c:pt idx="56">
                  <c:v>627</c:v>
                </c:pt>
                <c:pt idx="57">
                  <c:v>638</c:v>
                </c:pt>
                <c:pt idx="58">
                  <c:v>649</c:v>
                </c:pt>
                <c:pt idx="59">
                  <c:v>660</c:v>
                </c:pt>
                <c:pt idx="60">
                  <c:v>671</c:v>
                </c:pt>
                <c:pt idx="61">
                  <c:v>682</c:v>
                </c:pt>
                <c:pt idx="62">
                  <c:v>693</c:v>
                </c:pt>
                <c:pt idx="63">
                  <c:v>704</c:v>
                </c:pt>
                <c:pt idx="64">
                  <c:v>715</c:v>
                </c:pt>
                <c:pt idx="65">
                  <c:v>726</c:v>
                </c:pt>
                <c:pt idx="66">
                  <c:v>737</c:v>
                </c:pt>
                <c:pt idx="67">
                  <c:v>748</c:v>
                </c:pt>
                <c:pt idx="68">
                  <c:v>759</c:v>
                </c:pt>
                <c:pt idx="69">
                  <c:v>770</c:v>
                </c:pt>
                <c:pt idx="70">
                  <c:v>781</c:v>
                </c:pt>
                <c:pt idx="71">
                  <c:v>792</c:v>
                </c:pt>
                <c:pt idx="72">
                  <c:v>803</c:v>
                </c:pt>
                <c:pt idx="73">
                  <c:v>814</c:v>
                </c:pt>
                <c:pt idx="74">
                  <c:v>825</c:v>
                </c:pt>
                <c:pt idx="75">
                  <c:v>836</c:v>
                </c:pt>
                <c:pt idx="76">
                  <c:v>847</c:v>
                </c:pt>
                <c:pt idx="77">
                  <c:v>858</c:v>
                </c:pt>
                <c:pt idx="78">
                  <c:v>869</c:v>
                </c:pt>
                <c:pt idx="79">
                  <c:v>880</c:v>
                </c:pt>
                <c:pt idx="80">
                  <c:v>891</c:v>
                </c:pt>
                <c:pt idx="81">
                  <c:v>902</c:v>
                </c:pt>
                <c:pt idx="82">
                  <c:v>913</c:v>
                </c:pt>
                <c:pt idx="83">
                  <c:v>924</c:v>
                </c:pt>
                <c:pt idx="84">
                  <c:v>935</c:v>
                </c:pt>
                <c:pt idx="85">
                  <c:v>946</c:v>
                </c:pt>
                <c:pt idx="86">
                  <c:v>957</c:v>
                </c:pt>
                <c:pt idx="87">
                  <c:v>968</c:v>
                </c:pt>
                <c:pt idx="88">
                  <c:v>979</c:v>
                </c:pt>
                <c:pt idx="89">
                  <c:v>990</c:v>
                </c:pt>
                <c:pt idx="90">
                  <c:v>1001</c:v>
                </c:pt>
                <c:pt idx="91">
                  <c:v>1012</c:v>
                </c:pt>
                <c:pt idx="92">
                  <c:v>1023</c:v>
                </c:pt>
                <c:pt idx="93">
                  <c:v>1034</c:v>
                </c:pt>
                <c:pt idx="94">
                  <c:v>1045</c:v>
                </c:pt>
                <c:pt idx="95">
                  <c:v>1056</c:v>
                </c:pt>
                <c:pt idx="96">
                  <c:v>1067</c:v>
                </c:pt>
                <c:pt idx="97">
                  <c:v>1078</c:v>
                </c:pt>
                <c:pt idx="98">
                  <c:v>1089</c:v>
                </c:pt>
                <c:pt idx="99">
                  <c:v>1100</c:v>
                </c:pt>
              </c:numCache>
            </c:numRef>
          </c:cat>
          <c:val>
            <c:numRef>
              <c:f>Sheet5!$D$53:$D$152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86</c:v>
                </c:pt>
                <c:pt idx="21">
                  <c:v>84</c:v>
                </c:pt>
                <c:pt idx="22">
                  <c:v>82</c:v>
                </c:pt>
                <c:pt idx="23">
                  <c:v>96</c:v>
                </c:pt>
                <c:pt idx="24">
                  <c:v>87</c:v>
                </c:pt>
                <c:pt idx="25">
                  <c:v>89</c:v>
                </c:pt>
                <c:pt idx="26">
                  <c:v>99</c:v>
                </c:pt>
                <c:pt idx="27">
                  <c:v>94</c:v>
                </c:pt>
                <c:pt idx="28">
                  <c:v>80</c:v>
                </c:pt>
                <c:pt idx="29">
                  <c:v>94</c:v>
                </c:pt>
                <c:pt idx="30">
                  <c:v>95</c:v>
                </c:pt>
                <c:pt idx="31">
                  <c:v>84</c:v>
                </c:pt>
                <c:pt idx="32">
                  <c:v>96</c:v>
                </c:pt>
                <c:pt idx="33">
                  <c:v>90</c:v>
                </c:pt>
                <c:pt idx="34">
                  <c:v>88</c:v>
                </c:pt>
                <c:pt idx="35">
                  <c:v>92</c:v>
                </c:pt>
                <c:pt idx="36">
                  <c:v>88</c:v>
                </c:pt>
                <c:pt idx="37">
                  <c:v>91</c:v>
                </c:pt>
                <c:pt idx="38">
                  <c:v>85</c:v>
                </c:pt>
                <c:pt idx="39">
                  <c:v>97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85</c:v>
                </c:pt>
                <c:pt idx="61">
                  <c:v>100</c:v>
                </c:pt>
                <c:pt idx="62">
                  <c:v>96</c:v>
                </c:pt>
                <c:pt idx="63">
                  <c:v>92</c:v>
                </c:pt>
                <c:pt idx="64">
                  <c:v>93</c:v>
                </c:pt>
                <c:pt idx="65">
                  <c:v>97</c:v>
                </c:pt>
                <c:pt idx="66">
                  <c:v>98</c:v>
                </c:pt>
                <c:pt idx="67">
                  <c:v>93</c:v>
                </c:pt>
                <c:pt idx="68">
                  <c:v>93</c:v>
                </c:pt>
                <c:pt idx="69">
                  <c:v>84</c:v>
                </c:pt>
                <c:pt idx="70">
                  <c:v>81</c:v>
                </c:pt>
                <c:pt idx="71">
                  <c:v>96</c:v>
                </c:pt>
                <c:pt idx="72">
                  <c:v>86</c:v>
                </c:pt>
                <c:pt idx="73">
                  <c:v>97</c:v>
                </c:pt>
                <c:pt idx="74">
                  <c:v>80</c:v>
                </c:pt>
                <c:pt idx="75">
                  <c:v>84</c:v>
                </c:pt>
                <c:pt idx="76">
                  <c:v>93</c:v>
                </c:pt>
                <c:pt idx="77">
                  <c:v>100</c:v>
                </c:pt>
                <c:pt idx="78">
                  <c:v>91</c:v>
                </c:pt>
                <c:pt idx="79">
                  <c:v>87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C-7C41-8F93-619590E95177}"/>
            </c:ext>
          </c:extLst>
        </c:ser>
        <c:ser>
          <c:idx val="2"/>
          <c:order val="2"/>
          <c:tx>
            <c:strRef>
              <c:f>Sheet5!$E$52</c:f>
              <c:strCache>
                <c:ptCount val="1"/>
                <c:pt idx="0">
                  <c:v>Our System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Sheet5!$B$53:$B$152</c:f>
              <c:numCache>
                <c:formatCode>General</c:formatCode>
                <c:ptCount val="100"/>
                <c:pt idx="0">
                  <c:v>11</c:v>
                </c:pt>
                <c:pt idx="1">
                  <c:v>22</c:v>
                </c:pt>
                <c:pt idx="2">
                  <c:v>33</c:v>
                </c:pt>
                <c:pt idx="3">
                  <c:v>44</c:v>
                </c:pt>
                <c:pt idx="4">
                  <c:v>55</c:v>
                </c:pt>
                <c:pt idx="5">
                  <c:v>66</c:v>
                </c:pt>
                <c:pt idx="6">
                  <c:v>77</c:v>
                </c:pt>
                <c:pt idx="7">
                  <c:v>88</c:v>
                </c:pt>
                <c:pt idx="8">
                  <c:v>99</c:v>
                </c:pt>
                <c:pt idx="9">
                  <c:v>110</c:v>
                </c:pt>
                <c:pt idx="10">
                  <c:v>121</c:v>
                </c:pt>
                <c:pt idx="11">
                  <c:v>132</c:v>
                </c:pt>
                <c:pt idx="12">
                  <c:v>143</c:v>
                </c:pt>
                <c:pt idx="13">
                  <c:v>154</c:v>
                </c:pt>
                <c:pt idx="14">
                  <c:v>165</c:v>
                </c:pt>
                <c:pt idx="15">
                  <c:v>176</c:v>
                </c:pt>
                <c:pt idx="16">
                  <c:v>187</c:v>
                </c:pt>
                <c:pt idx="17">
                  <c:v>198</c:v>
                </c:pt>
                <c:pt idx="18">
                  <c:v>209</c:v>
                </c:pt>
                <c:pt idx="19">
                  <c:v>220</c:v>
                </c:pt>
                <c:pt idx="20">
                  <c:v>231</c:v>
                </c:pt>
                <c:pt idx="21">
                  <c:v>242</c:v>
                </c:pt>
                <c:pt idx="22">
                  <c:v>253</c:v>
                </c:pt>
                <c:pt idx="23">
                  <c:v>264</c:v>
                </c:pt>
                <c:pt idx="24">
                  <c:v>275</c:v>
                </c:pt>
                <c:pt idx="25">
                  <c:v>286</c:v>
                </c:pt>
                <c:pt idx="26">
                  <c:v>297</c:v>
                </c:pt>
                <c:pt idx="27">
                  <c:v>308</c:v>
                </c:pt>
                <c:pt idx="28">
                  <c:v>319</c:v>
                </c:pt>
                <c:pt idx="29">
                  <c:v>330</c:v>
                </c:pt>
                <c:pt idx="30">
                  <c:v>341</c:v>
                </c:pt>
                <c:pt idx="31">
                  <c:v>352</c:v>
                </c:pt>
                <c:pt idx="32">
                  <c:v>363</c:v>
                </c:pt>
                <c:pt idx="33">
                  <c:v>374</c:v>
                </c:pt>
                <c:pt idx="34">
                  <c:v>385</c:v>
                </c:pt>
                <c:pt idx="35">
                  <c:v>396</c:v>
                </c:pt>
                <c:pt idx="36">
                  <c:v>407</c:v>
                </c:pt>
                <c:pt idx="37">
                  <c:v>418</c:v>
                </c:pt>
                <c:pt idx="38">
                  <c:v>429</c:v>
                </c:pt>
                <c:pt idx="39">
                  <c:v>440</c:v>
                </c:pt>
                <c:pt idx="40">
                  <c:v>451</c:v>
                </c:pt>
                <c:pt idx="41">
                  <c:v>462</c:v>
                </c:pt>
                <c:pt idx="42">
                  <c:v>473</c:v>
                </c:pt>
                <c:pt idx="43">
                  <c:v>484</c:v>
                </c:pt>
                <c:pt idx="44">
                  <c:v>495</c:v>
                </c:pt>
                <c:pt idx="45">
                  <c:v>506</c:v>
                </c:pt>
                <c:pt idx="46">
                  <c:v>517</c:v>
                </c:pt>
                <c:pt idx="47">
                  <c:v>528</c:v>
                </c:pt>
                <c:pt idx="48">
                  <c:v>539</c:v>
                </c:pt>
                <c:pt idx="49">
                  <c:v>550</c:v>
                </c:pt>
                <c:pt idx="50">
                  <c:v>561</c:v>
                </c:pt>
                <c:pt idx="51">
                  <c:v>572</c:v>
                </c:pt>
                <c:pt idx="52">
                  <c:v>583</c:v>
                </c:pt>
                <c:pt idx="53">
                  <c:v>594</c:v>
                </c:pt>
                <c:pt idx="54">
                  <c:v>605</c:v>
                </c:pt>
                <c:pt idx="55">
                  <c:v>616</c:v>
                </c:pt>
                <c:pt idx="56">
                  <c:v>627</c:v>
                </c:pt>
                <c:pt idx="57">
                  <c:v>638</c:v>
                </c:pt>
                <c:pt idx="58">
                  <c:v>649</c:v>
                </c:pt>
                <c:pt idx="59">
                  <c:v>660</c:v>
                </c:pt>
                <c:pt idx="60">
                  <c:v>671</c:v>
                </c:pt>
                <c:pt idx="61">
                  <c:v>682</c:v>
                </c:pt>
                <c:pt idx="62">
                  <c:v>693</c:v>
                </c:pt>
                <c:pt idx="63">
                  <c:v>704</c:v>
                </c:pt>
                <c:pt idx="64">
                  <c:v>715</c:v>
                </c:pt>
                <c:pt idx="65">
                  <c:v>726</c:v>
                </c:pt>
                <c:pt idx="66">
                  <c:v>737</c:v>
                </c:pt>
                <c:pt idx="67">
                  <c:v>748</c:v>
                </c:pt>
                <c:pt idx="68">
                  <c:v>759</c:v>
                </c:pt>
                <c:pt idx="69">
                  <c:v>770</c:v>
                </c:pt>
                <c:pt idx="70">
                  <c:v>781</c:v>
                </c:pt>
                <c:pt idx="71">
                  <c:v>792</c:v>
                </c:pt>
                <c:pt idx="72">
                  <c:v>803</c:v>
                </c:pt>
                <c:pt idx="73">
                  <c:v>814</c:v>
                </c:pt>
                <c:pt idx="74">
                  <c:v>825</c:v>
                </c:pt>
                <c:pt idx="75">
                  <c:v>836</c:v>
                </c:pt>
                <c:pt idx="76">
                  <c:v>847</c:v>
                </c:pt>
                <c:pt idx="77">
                  <c:v>858</c:v>
                </c:pt>
                <c:pt idx="78">
                  <c:v>869</c:v>
                </c:pt>
                <c:pt idx="79">
                  <c:v>880</c:v>
                </c:pt>
                <c:pt idx="80">
                  <c:v>891</c:v>
                </c:pt>
                <c:pt idx="81">
                  <c:v>902</c:v>
                </c:pt>
                <c:pt idx="82">
                  <c:v>913</c:v>
                </c:pt>
                <c:pt idx="83">
                  <c:v>924</c:v>
                </c:pt>
                <c:pt idx="84">
                  <c:v>935</c:v>
                </c:pt>
                <c:pt idx="85">
                  <c:v>946</c:v>
                </c:pt>
                <c:pt idx="86">
                  <c:v>957</c:v>
                </c:pt>
                <c:pt idx="87">
                  <c:v>968</c:v>
                </c:pt>
                <c:pt idx="88">
                  <c:v>979</c:v>
                </c:pt>
                <c:pt idx="89">
                  <c:v>990</c:v>
                </c:pt>
                <c:pt idx="90">
                  <c:v>1001</c:v>
                </c:pt>
                <c:pt idx="91">
                  <c:v>1012</c:v>
                </c:pt>
                <c:pt idx="92">
                  <c:v>1023</c:v>
                </c:pt>
                <c:pt idx="93">
                  <c:v>1034</c:v>
                </c:pt>
                <c:pt idx="94">
                  <c:v>1045</c:v>
                </c:pt>
                <c:pt idx="95">
                  <c:v>1056</c:v>
                </c:pt>
                <c:pt idx="96">
                  <c:v>1067</c:v>
                </c:pt>
                <c:pt idx="97">
                  <c:v>1078</c:v>
                </c:pt>
                <c:pt idx="98">
                  <c:v>1089</c:v>
                </c:pt>
                <c:pt idx="99">
                  <c:v>1100</c:v>
                </c:pt>
              </c:numCache>
            </c:numRef>
          </c:cat>
          <c:val>
            <c:numRef>
              <c:f>Sheet5!$E$53:$E$152</c:f>
              <c:numCache>
                <c:formatCode>General</c:formatCode>
                <c:ptCount val="100"/>
                <c:pt idx="0">
                  <c:v>69</c:v>
                </c:pt>
                <c:pt idx="1">
                  <c:v>66</c:v>
                </c:pt>
                <c:pt idx="2">
                  <c:v>71</c:v>
                </c:pt>
                <c:pt idx="3">
                  <c:v>70</c:v>
                </c:pt>
                <c:pt idx="4">
                  <c:v>72</c:v>
                </c:pt>
                <c:pt idx="5">
                  <c:v>70</c:v>
                </c:pt>
                <c:pt idx="6">
                  <c:v>74</c:v>
                </c:pt>
                <c:pt idx="7">
                  <c:v>69</c:v>
                </c:pt>
                <c:pt idx="8">
                  <c:v>69</c:v>
                </c:pt>
                <c:pt idx="9">
                  <c:v>66</c:v>
                </c:pt>
                <c:pt idx="10">
                  <c:v>69</c:v>
                </c:pt>
                <c:pt idx="11">
                  <c:v>73</c:v>
                </c:pt>
                <c:pt idx="12">
                  <c:v>70</c:v>
                </c:pt>
                <c:pt idx="13">
                  <c:v>66</c:v>
                </c:pt>
                <c:pt idx="14">
                  <c:v>74</c:v>
                </c:pt>
                <c:pt idx="15">
                  <c:v>70</c:v>
                </c:pt>
                <c:pt idx="16">
                  <c:v>65</c:v>
                </c:pt>
                <c:pt idx="17">
                  <c:v>67</c:v>
                </c:pt>
                <c:pt idx="18">
                  <c:v>66</c:v>
                </c:pt>
                <c:pt idx="19">
                  <c:v>65</c:v>
                </c:pt>
                <c:pt idx="20">
                  <c:v>68</c:v>
                </c:pt>
                <c:pt idx="21">
                  <c:v>69</c:v>
                </c:pt>
                <c:pt idx="22">
                  <c:v>67</c:v>
                </c:pt>
                <c:pt idx="23">
                  <c:v>74</c:v>
                </c:pt>
                <c:pt idx="24">
                  <c:v>66</c:v>
                </c:pt>
                <c:pt idx="25">
                  <c:v>73</c:v>
                </c:pt>
                <c:pt idx="26">
                  <c:v>71</c:v>
                </c:pt>
                <c:pt idx="27">
                  <c:v>70</c:v>
                </c:pt>
                <c:pt idx="28">
                  <c:v>67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74</c:v>
                </c:pt>
                <c:pt idx="33">
                  <c:v>66</c:v>
                </c:pt>
                <c:pt idx="34">
                  <c:v>74</c:v>
                </c:pt>
                <c:pt idx="35">
                  <c:v>70</c:v>
                </c:pt>
                <c:pt idx="36">
                  <c:v>66</c:v>
                </c:pt>
                <c:pt idx="37">
                  <c:v>72</c:v>
                </c:pt>
                <c:pt idx="38">
                  <c:v>70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69</c:v>
                </c:pt>
                <c:pt idx="43">
                  <c:v>65</c:v>
                </c:pt>
                <c:pt idx="44">
                  <c:v>74</c:v>
                </c:pt>
                <c:pt idx="45">
                  <c:v>65</c:v>
                </c:pt>
                <c:pt idx="46">
                  <c:v>66</c:v>
                </c:pt>
                <c:pt idx="47">
                  <c:v>68</c:v>
                </c:pt>
                <c:pt idx="48">
                  <c:v>70</c:v>
                </c:pt>
                <c:pt idx="49">
                  <c:v>66</c:v>
                </c:pt>
                <c:pt idx="50">
                  <c:v>69</c:v>
                </c:pt>
                <c:pt idx="51">
                  <c:v>70</c:v>
                </c:pt>
                <c:pt idx="52">
                  <c:v>66</c:v>
                </c:pt>
                <c:pt idx="53">
                  <c:v>72</c:v>
                </c:pt>
                <c:pt idx="54">
                  <c:v>74</c:v>
                </c:pt>
                <c:pt idx="55">
                  <c:v>69</c:v>
                </c:pt>
                <c:pt idx="56">
                  <c:v>65</c:v>
                </c:pt>
                <c:pt idx="57">
                  <c:v>75</c:v>
                </c:pt>
                <c:pt idx="58">
                  <c:v>75</c:v>
                </c:pt>
                <c:pt idx="59">
                  <c:v>71</c:v>
                </c:pt>
                <c:pt idx="60">
                  <c:v>72</c:v>
                </c:pt>
                <c:pt idx="61">
                  <c:v>70</c:v>
                </c:pt>
                <c:pt idx="62">
                  <c:v>74</c:v>
                </c:pt>
                <c:pt idx="63">
                  <c:v>70</c:v>
                </c:pt>
                <c:pt idx="64">
                  <c:v>72</c:v>
                </c:pt>
                <c:pt idx="65">
                  <c:v>75</c:v>
                </c:pt>
                <c:pt idx="66">
                  <c:v>71</c:v>
                </c:pt>
                <c:pt idx="67">
                  <c:v>74</c:v>
                </c:pt>
                <c:pt idx="68">
                  <c:v>70</c:v>
                </c:pt>
                <c:pt idx="69">
                  <c:v>71</c:v>
                </c:pt>
                <c:pt idx="70">
                  <c:v>75</c:v>
                </c:pt>
                <c:pt idx="71">
                  <c:v>68</c:v>
                </c:pt>
                <c:pt idx="72">
                  <c:v>69</c:v>
                </c:pt>
                <c:pt idx="73">
                  <c:v>69</c:v>
                </c:pt>
                <c:pt idx="74">
                  <c:v>71</c:v>
                </c:pt>
                <c:pt idx="75">
                  <c:v>68</c:v>
                </c:pt>
                <c:pt idx="76">
                  <c:v>75</c:v>
                </c:pt>
                <c:pt idx="77">
                  <c:v>65</c:v>
                </c:pt>
                <c:pt idx="78">
                  <c:v>67</c:v>
                </c:pt>
                <c:pt idx="79">
                  <c:v>72</c:v>
                </c:pt>
                <c:pt idx="80">
                  <c:v>68</c:v>
                </c:pt>
                <c:pt idx="81">
                  <c:v>75</c:v>
                </c:pt>
                <c:pt idx="82">
                  <c:v>71</c:v>
                </c:pt>
                <c:pt idx="83">
                  <c:v>66</c:v>
                </c:pt>
                <c:pt idx="84">
                  <c:v>72</c:v>
                </c:pt>
                <c:pt idx="85">
                  <c:v>70</c:v>
                </c:pt>
                <c:pt idx="86">
                  <c:v>73</c:v>
                </c:pt>
                <c:pt idx="87">
                  <c:v>70</c:v>
                </c:pt>
                <c:pt idx="88">
                  <c:v>66</c:v>
                </c:pt>
                <c:pt idx="89">
                  <c:v>75</c:v>
                </c:pt>
                <c:pt idx="90">
                  <c:v>65</c:v>
                </c:pt>
                <c:pt idx="91">
                  <c:v>73</c:v>
                </c:pt>
                <c:pt idx="92">
                  <c:v>71</c:v>
                </c:pt>
                <c:pt idx="93">
                  <c:v>71</c:v>
                </c:pt>
                <c:pt idx="94">
                  <c:v>73</c:v>
                </c:pt>
                <c:pt idx="95">
                  <c:v>71</c:v>
                </c:pt>
                <c:pt idx="96">
                  <c:v>70</c:v>
                </c:pt>
                <c:pt idx="97">
                  <c:v>75</c:v>
                </c:pt>
                <c:pt idx="98">
                  <c:v>67</c:v>
                </c:pt>
                <c:pt idx="9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C-0743-874E-47AF2216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759504"/>
        <c:axId val="595761216"/>
      </c:lineChart>
      <c:catAx>
        <c:axId val="59575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  <a:r>
                  <a:rPr lang="zh-CN" altLang="en-US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altLang="zh-CN" sz="16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(ms)</a:t>
                </a:r>
                <a:endParaRPr lang="en-US" sz="16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5761216"/>
        <c:crosses val="autoZero"/>
        <c:auto val="0"/>
        <c:lblAlgn val="ctr"/>
        <c:lblOffset val="100"/>
        <c:noMultiLvlLbl val="0"/>
      </c:catAx>
      <c:valAx>
        <c:axId val="595761216"/>
        <c:scaling>
          <c:logBase val="10"/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600" b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GPU</a:t>
                </a:r>
                <a:r>
                  <a:rPr lang="zh-CN" altLang="en-US" sz="1600" b="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altLang="zh-CN" sz="1600" b="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Utilization</a:t>
                </a:r>
                <a:endParaRPr lang="en-US" sz="1600" b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05"/>
              <c:y val="0.17685622630504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957595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0546078812277849"/>
          <c:y val="7.4336085758579473E-2"/>
          <c:w val="0.55925171615403568"/>
          <c:h val="0.14110406782021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5207188225449145"/>
          <c:y val="0.32722812248488836"/>
          <c:w val="0.42326815100919413"/>
          <c:h val="0.35616164408691192"/>
        </c:manualLayout>
      </c:layout>
      <c:lineChart>
        <c:grouping val="standard"/>
        <c:varyColors val="0"/>
        <c:ser>
          <c:idx val="0"/>
          <c:order val="0"/>
          <c:tx>
            <c:strRef>
              <c:f>Sheet5!$J$32</c:f>
              <c:strCache>
                <c:ptCount val="1"/>
                <c:pt idx="0">
                  <c:v>GCSM-300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noFill/>
              </a:ln>
              <a:effectLst/>
            </c:spPr>
          </c:marker>
          <c:cat>
            <c:strRef>
              <c:f>Sheet5!$K$31:$P$31</c:f>
              <c:strCache>
                <c:ptCount val="6"/>
                <c:pt idx="0">
                  <c:v>0.7m</c:v>
                </c:pt>
                <c:pt idx="1">
                  <c:v>1.5m</c:v>
                </c:pt>
                <c:pt idx="2">
                  <c:v>3.1m</c:v>
                </c:pt>
                <c:pt idx="3">
                  <c:v>6.2m</c:v>
                </c:pt>
                <c:pt idx="4">
                  <c:v>12.5m</c:v>
                </c:pt>
                <c:pt idx="5">
                  <c:v>25m</c:v>
                </c:pt>
              </c:strCache>
            </c:strRef>
          </c:cat>
          <c:val>
            <c:numRef>
              <c:f>Sheet5!$K$32:$P$32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D-5D46-9BC0-10C99897C0AC}"/>
            </c:ext>
          </c:extLst>
        </c:ser>
        <c:ser>
          <c:idx val="1"/>
          <c:order val="1"/>
          <c:tx>
            <c:strRef>
              <c:f>Sheet5!$J$33</c:f>
              <c:strCache>
                <c:ptCount val="1"/>
                <c:pt idx="0">
                  <c:v>GCSM-1000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196B24"/>
              </a:solidFill>
              <a:ln w="9525">
                <a:noFill/>
              </a:ln>
              <a:effectLst/>
            </c:spPr>
          </c:marker>
          <c:cat>
            <c:strRef>
              <c:f>Sheet5!$K$31:$P$31</c:f>
              <c:strCache>
                <c:ptCount val="6"/>
                <c:pt idx="0">
                  <c:v>0.7m</c:v>
                </c:pt>
                <c:pt idx="1">
                  <c:v>1.5m</c:v>
                </c:pt>
                <c:pt idx="2">
                  <c:v>3.1m</c:v>
                </c:pt>
                <c:pt idx="3">
                  <c:v>6.2m</c:v>
                </c:pt>
                <c:pt idx="4">
                  <c:v>12.5m</c:v>
                </c:pt>
                <c:pt idx="5">
                  <c:v>25m</c:v>
                </c:pt>
              </c:strCache>
            </c:strRef>
          </c:cat>
          <c:val>
            <c:numRef>
              <c:f>Sheet5!$K$33:$P$33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17</c:v>
                </c:pt>
                <c:pt idx="4">
                  <c:v>22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D-5D46-9BC0-10C99897C0AC}"/>
            </c:ext>
          </c:extLst>
        </c:ser>
        <c:ser>
          <c:idx val="2"/>
          <c:order val="2"/>
          <c:tx>
            <c:strRef>
              <c:f>Sheet5!$J$34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0F9ED5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F9ED5"/>
              </a:solidFill>
              <a:ln w="9525">
                <a:noFill/>
              </a:ln>
              <a:effectLst/>
            </c:spPr>
          </c:marker>
          <c:cat>
            <c:strRef>
              <c:f>Sheet5!$K$31:$P$31</c:f>
              <c:strCache>
                <c:ptCount val="6"/>
                <c:pt idx="0">
                  <c:v>0.7m</c:v>
                </c:pt>
                <c:pt idx="1">
                  <c:v>1.5m</c:v>
                </c:pt>
                <c:pt idx="2">
                  <c:v>3.1m</c:v>
                </c:pt>
                <c:pt idx="3">
                  <c:v>6.2m</c:v>
                </c:pt>
                <c:pt idx="4">
                  <c:v>12.5m</c:v>
                </c:pt>
                <c:pt idx="5">
                  <c:v>25m</c:v>
                </c:pt>
              </c:strCache>
            </c:strRef>
          </c:cat>
          <c:val>
            <c:numRef>
              <c:f>Sheet5!$K$34:$P$34</c:f>
              <c:numCache>
                <c:formatCode>General</c:formatCode>
                <c:ptCount val="6"/>
                <c:pt idx="0">
                  <c:v>4</c:v>
                </c:pt>
                <c:pt idx="1">
                  <c:v>9</c:v>
                </c:pt>
                <c:pt idx="2">
                  <c:v>22</c:v>
                </c:pt>
                <c:pt idx="3">
                  <c:v>47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D-5D46-9BC0-10C99897C0AC}"/>
            </c:ext>
          </c:extLst>
        </c:ser>
        <c:ser>
          <c:idx val="3"/>
          <c:order val="3"/>
          <c:tx>
            <c:strRef>
              <c:f>Sheet5!$J$35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strRef>
              <c:f>Sheet5!$K$31:$P$31</c:f>
              <c:strCache>
                <c:ptCount val="6"/>
                <c:pt idx="0">
                  <c:v>0.7m</c:v>
                </c:pt>
                <c:pt idx="1">
                  <c:v>1.5m</c:v>
                </c:pt>
                <c:pt idx="2">
                  <c:v>3.1m</c:v>
                </c:pt>
                <c:pt idx="3">
                  <c:v>6.2m</c:v>
                </c:pt>
                <c:pt idx="4">
                  <c:v>12.5m</c:v>
                </c:pt>
                <c:pt idx="5">
                  <c:v>25m</c:v>
                </c:pt>
              </c:strCache>
            </c:strRef>
          </c:cat>
          <c:val>
            <c:numRef>
              <c:f>Sheet5!$K$35:$P$35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15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D-5D46-9BC0-10C99897C0AC}"/>
            </c:ext>
          </c:extLst>
        </c:ser>
        <c:ser>
          <c:idx val="4"/>
          <c:order val="4"/>
          <c:tx>
            <c:strRef>
              <c:f>Sheet5!$J$36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A02B93"/>
              </a:solidFill>
              <a:round/>
            </a:ln>
            <a:effectLst/>
          </c:spPr>
          <c:marker>
            <c:symbol val="star"/>
            <c:size val="9"/>
            <c:spPr>
              <a:noFill/>
              <a:ln w="9525">
                <a:solidFill>
                  <a:srgbClr val="A02B93"/>
                </a:solidFill>
              </a:ln>
              <a:effectLst/>
            </c:spPr>
          </c:marker>
          <c:dPt>
            <c:idx val="3"/>
            <c:marker>
              <c:symbol val="star"/>
              <c:size val="9"/>
              <c:spPr>
                <a:noFill/>
                <a:ln w="9525">
                  <a:solidFill>
                    <a:srgbClr val="A02B9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A7-BE43-8A04-1D58FE802167}"/>
              </c:ext>
            </c:extLst>
          </c:dPt>
          <c:cat>
            <c:strRef>
              <c:f>Sheet5!$K$31:$P$31</c:f>
              <c:strCache>
                <c:ptCount val="6"/>
                <c:pt idx="0">
                  <c:v>0.7m</c:v>
                </c:pt>
                <c:pt idx="1">
                  <c:v>1.5m</c:v>
                </c:pt>
                <c:pt idx="2">
                  <c:v>3.1m</c:v>
                </c:pt>
                <c:pt idx="3">
                  <c:v>6.2m</c:v>
                </c:pt>
                <c:pt idx="4">
                  <c:v>12.5m</c:v>
                </c:pt>
                <c:pt idx="5">
                  <c:v>25m</c:v>
                </c:pt>
              </c:strCache>
            </c:strRef>
          </c:cat>
          <c:val>
            <c:numRef>
              <c:f>Sheet5!$K$36:$P$36</c:f>
              <c:numCache>
                <c:formatCode>General</c:formatCode>
                <c:ptCount val="6"/>
                <c:pt idx="0">
                  <c:v>9</c:v>
                </c:pt>
                <c:pt idx="1">
                  <c:v>18</c:v>
                </c:pt>
                <c:pt idx="2">
                  <c:v>41</c:v>
                </c:pt>
                <c:pt idx="3">
                  <c:v>89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4-E042-AE26-957B6A6A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596975"/>
        <c:axId val="1193591535"/>
      </c:lineChart>
      <c:catAx>
        <c:axId val="119359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Edge Updates/Second</a:t>
                </a:r>
              </a:p>
            </c:rich>
          </c:tx>
          <c:layout>
            <c:manualLayout>
              <c:xMode val="edge"/>
              <c:yMode val="edge"/>
              <c:x val="0.30015010071224096"/>
              <c:y val="0.76229183111109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91535"/>
        <c:crossesAt val="0.125"/>
        <c:auto val="1"/>
        <c:lblAlgn val="ctr"/>
        <c:lblOffset val="100"/>
        <c:noMultiLvlLbl val="0"/>
      </c:catAx>
      <c:valAx>
        <c:axId val="11935915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3596975"/>
        <c:crosses val="autoZero"/>
        <c:crossBetween val="between"/>
        <c:majorUnit val="20"/>
        <c:min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6178276950222251"/>
          <c:y val="0.17796403689067283"/>
          <c:w val="0.39214019948747847"/>
          <c:h val="0.14163506965123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193398</xdr:colOff>
      <xdr:row>16</xdr:row>
      <xdr:rowOff>129012</xdr:rowOff>
    </xdr:from>
    <xdr:to>
      <xdr:col>15</xdr:col>
      <xdr:colOff>637898</xdr:colOff>
      <xdr:row>30</xdr:row>
      <xdr:rowOff>30086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6A86F-A5FD-AC1C-CE82-9301A654D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281851</xdr:colOff>
      <xdr:row>28</xdr:row>
      <xdr:rowOff>54365</xdr:rowOff>
    </xdr:from>
    <xdr:to>
      <xdr:col>9</xdr:col>
      <xdr:colOff>731921</xdr:colOff>
      <xdr:row>41</xdr:row>
      <xdr:rowOff>190723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F2A12-ADD1-6E9D-9CDB-283540A73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697239</xdr:colOff>
      <xdr:row>7</xdr:row>
      <xdr:rowOff>663</xdr:rowOff>
    </xdr:from>
    <xdr:to>
      <xdr:col>17</xdr:col>
      <xdr:colOff>49367</xdr:colOff>
      <xdr:row>27</xdr:row>
      <xdr:rowOff>19126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5504EA1-D122-DB6F-2CF5-581342BAD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251815</xdr:colOff>
      <xdr:row>7</xdr:row>
      <xdr:rowOff>90951</xdr:rowOff>
    </xdr:from>
    <xdr:to>
      <xdr:col>24</xdr:col>
      <xdr:colOff>683616</xdr:colOff>
      <xdr:row>26</xdr:row>
      <xdr:rowOff>107884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467D71-BB2E-A744-6F8B-5133D9BED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211666</xdr:colOff>
      <xdr:row>28</xdr:row>
      <xdr:rowOff>101601</xdr:rowOff>
    </xdr:from>
    <xdr:to>
      <xdr:col>17</xdr:col>
      <xdr:colOff>237066</xdr:colOff>
      <xdr:row>54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1E2724D-75D3-6C90-767F-96085EDD7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702733</xdr:colOff>
      <xdr:row>29</xdr:row>
      <xdr:rowOff>16933</xdr:rowOff>
    </xdr:from>
    <xdr:to>
      <xdr:col>25</xdr:col>
      <xdr:colOff>558800</xdr:colOff>
      <xdr:row>53</xdr:row>
      <xdr:rowOff>50800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5C2DF39-32ED-90EA-64D9-BD8381DE0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393700</xdr:colOff>
      <xdr:row>53</xdr:row>
      <xdr:rowOff>8465</xdr:rowOff>
    </xdr:from>
    <xdr:to>
      <xdr:col>17</xdr:col>
      <xdr:colOff>241300</xdr:colOff>
      <xdr:row>78</xdr:row>
      <xdr:rowOff>93133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1D10A64-4C6B-BD35-B6C2-72B2F0EBC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21168</xdr:colOff>
      <xdr:row>55</xdr:row>
      <xdr:rowOff>38100</xdr:rowOff>
    </xdr:from>
    <xdr:to>
      <xdr:col>26</xdr:col>
      <xdr:colOff>97367</xdr:colOff>
      <xdr:row>78</xdr:row>
      <xdr:rowOff>156634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63E6B6F-1AF1-51E5-1C83-74B8D38E9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725239</xdr:colOff>
      <xdr:row>0</xdr:row>
      <xdr:rowOff>0</xdr:rowOff>
    </xdr:from>
    <xdr:to>
      <xdr:col>16</xdr:col>
      <xdr:colOff>693606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C3D55-A259-78D5-4084-61361D6FB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482754</xdr:colOff>
      <xdr:row>19</xdr:row>
      <xdr:rowOff>39568</xdr:rowOff>
    </xdr:from>
    <xdr:to>
      <xdr:col>15</xdr:col>
      <xdr:colOff>99855</xdr:colOff>
      <xdr:row>33</xdr:row>
      <xdr:rowOff>4614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7A6F2-C3CE-AC93-7638-11C06FF7A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684313</xdr:colOff>
      <xdr:row>30</xdr:row>
      <xdr:rowOff>7807</xdr:rowOff>
    </xdr:from>
    <xdr:to>
      <xdr:col>20</xdr:col>
      <xdr:colOff>490154</xdr:colOff>
      <xdr:row>43</xdr:row>
      <xdr:rowOff>181179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A030DE-AEEC-7CB2-CEEC-FA3BDC36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501650</xdr:colOff>
      <xdr:row>47</xdr:row>
      <xdr:rowOff>48474</xdr:rowOff>
    </xdr:from>
    <xdr:to>
      <xdr:col>17</xdr:col>
      <xdr:colOff>592033</xdr:colOff>
      <xdr:row>66</xdr:row>
      <xdr:rowOff>85090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AB7249-7DEA-E3C3-48FC-FCA28F407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A827-0E81-804C-8BD8-996E227114AC}">
  <dimension ref="B1:AE73"/>
  <sheetViews>
    <sheetView zoomScale="50" workbookViewId="0">
      <selection activeCell="P15" sqref="P15"/>
    </sheetView>
  </sheetViews>
  <sheetFormatPr baseColWidth="10" defaultRowHeight="16" x14ac:dyDescent="0.2"/>
  <cols>
    <col min="1" max="1" width="10.83203125" style="8"/>
    <col min="2" max="2" width="10.83203125" style="15"/>
    <col min="3" max="3" width="10.83203125" style="9"/>
    <col min="4" max="4" width="18.5" style="9" customWidth="1"/>
    <col min="5" max="12" width="10.83203125" style="7"/>
    <col min="13" max="13" width="10.83203125" style="18"/>
    <col min="14" max="16384" width="10.83203125" style="8"/>
  </cols>
  <sheetData>
    <row r="1" spans="2:31" x14ac:dyDescent="0.2">
      <c r="B1" s="17"/>
      <c r="C1" s="13" t="s">
        <v>0</v>
      </c>
      <c r="D1" s="3"/>
      <c r="E1" s="2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9" t="s">
        <v>9</v>
      </c>
    </row>
    <row r="2" spans="2:31" ht="16" customHeight="1" x14ac:dyDescent="0.2">
      <c r="B2" s="43" t="s">
        <v>60</v>
      </c>
      <c r="C2" s="46" t="s">
        <v>10</v>
      </c>
      <c r="D2" s="10" t="s">
        <v>56</v>
      </c>
      <c r="E2" s="11"/>
      <c r="F2" s="6"/>
      <c r="G2" s="6"/>
      <c r="H2" s="6"/>
      <c r="I2" s="6"/>
      <c r="J2" s="6"/>
      <c r="K2" s="6"/>
      <c r="L2" s="6"/>
      <c r="M2" s="20"/>
    </row>
    <row r="3" spans="2:31" x14ac:dyDescent="0.2">
      <c r="B3" s="44"/>
      <c r="C3" s="47"/>
      <c r="D3" s="10" t="s">
        <v>57</v>
      </c>
      <c r="E3" s="11"/>
      <c r="F3" s="6"/>
      <c r="G3" s="6"/>
      <c r="H3" s="6"/>
      <c r="I3" s="6"/>
      <c r="J3" s="6"/>
      <c r="K3" s="6"/>
      <c r="L3" s="6"/>
      <c r="M3" s="21"/>
    </row>
    <row r="4" spans="2:31" x14ac:dyDescent="0.2">
      <c r="B4" s="44"/>
      <c r="C4" s="47"/>
      <c r="D4" s="10" t="s">
        <v>11</v>
      </c>
      <c r="E4" s="7">
        <v>192</v>
      </c>
      <c r="F4" s="7">
        <v>110</v>
      </c>
      <c r="G4" s="7">
        <v>41</v>
      </c>
      <c r="H4" s="7" t="s">
        <v>12</v>
      </c>
      <c r="I4" s="7" t="s">
        <v>12</v>
      </c>
      <c r="J4" s="7">
        <v>1.1000000000000001</v>
      </c>
      <c r="K4" s="7">
        <v>5.2</v>
      </c>
      <c r="L4" s="7">
        <v>864</v>
      </c>
      <c r="M4" s="18">
        <v>13</v>
      </c>
    </row>
    <row r="5" spans="2:31" x14ac:dyDescent="0.2">
      <c r="B5" s="44"/>
      <c r="C5" s="47"/>
      <c r="D5" s="10" t="s">
        <v>58</v>
      </c>
      <c r="E5" s="11"/>
      <c r="F5" s="6"/>
      <c r="G5" s="6"/>
      <c r="H5" s="6"/>
      <c r="I5" s="6"/>
      <c r="J5" s="6"/>
      <c r="K5" s="6"/>
      <c r="L5" s="6"/>
      <c r="M5" s="21"/>
    </row>
    <row r="6" spans="2:31" x14ac:dyDescent="0.2">
      <c r="B6" s="44"/>
      <c r="C6" s="47"/>
      <c r="D6" s="14" t="s">
        <v>59</v>
      </c>
      <c r="E6" s="7">
        <v>16</v>
      </c>
      <c r="F6" s="7">
        <v>1.6</v>
      </c>
      <c r="G6" s="7">
        <v>8.4</v>
      </c>
      <c r="H6" s="7">
        <v>1237</v>
      </c>
      <c r="I6" s="7">
        <v>1662</v>
      </c>
      <c r="J6" s="7">
        <v>0.1</v>
      </c>
      <c r="K6" s="7">
        <v>0.01</v>
      </c>
      <c r="L6" s="7">
        <v>1.5</v>
      </c>
      <c r="M6" s="18">
        <v>1.2</v>
      </c>
    </row>
    <row r="7" spans="2:31" x14ac:dyDescent="0.2">
      <c r="B7" s="44"/>
      <c r="C7" s="48"/>
      <c r="D7" s="12" t="s">
        <v>13</v>
      </c>
      <c r="E7" s="5"/>
      <c r="F7" s="5"/>
      <c r="G7" s="5"/>
      <c r="H7" s="5"/>
      <c r="I7" s="5"/>
      <c r="J7" s="5"/>
      <c r="K7" s="5"/>
      <c r="L7" s="5"/>
      <c r="M7" s="16"/>
    </row>
    <row r="8" spans="2:31" x14ac:dyDescent="0.2">
      <c r="B8" s="44"/>
      <c r="C8" s="46" t="s">
        <v>14</v>
      </c>
      <c r="D8" s="10" t="s">
        <v>56</v>
      </c>
    </row>
    <row r="9" spans="2:31" x14ac:dyDescent="0.2">
      <c r="B9" s="44"/>
      <c r="C9" s="47"/>
      <c r="D9" s="10" t="s">
        <v>57</v>
      </c>
    </row>
    <row r="10" spans="2:31" ht="16" customHeight="1" x14ac:dyDescent="0.2">
      <c r="B10" s="44"/>
      <c r="C10" s="47"/>
      <c r="D10" s="10" t="s">
        <v>11</v>
      </c>
      <c r="E10" s="7">
        <v>13</v>
      </c>
      <c r="F10" s="7">
        <v>13</v>
      </c>
      <c r="G10" s="7">
        <v>5.0999999999999996</v>
      </c>
      <c r="H10" s="7">
        <v>48</v>
      </c>
      <c r="I10" s="7">
        <v>92</v>
      </c>
      <c r="J10" s="7">
        <v>1.9</v>
      </c>
      <c r="K10" s="7">
        <v>2.2000000000000002</v>
      </c>
      <c r="L10" s="7">
        <v>28</v>
      </c>
      <c r="M10" s="18">
        <v>5.2</v>
      </c>
    </row>
    <row r="11" spans="2:31" x14ac:dyDescent="0.2">
      <c r="B11" s="44"/>
      <c r="C11" s="47"/>
      <c r="D11" s="10" t="s">
        <v>58</v>
      </c>
    </row>
    <row r="12" spans="2:31" x14ac:dyDescent="0.2">
      <c r="B12" s="44"/>
      <c r="C12" s="47"/>
      <c r="D12" s="14" t="s">
        <v>59</v>
      </c>
      <c r="E12" s="7">
        <v>0.1</v>
      </c>
      <c r="F12" s="7">
        <v>0.1</v>
      </c>
      <c r="G12" s="7">
        <v>0.5</v>
      </c>
      <c r="H12" s="7">
        <v>1.8</v>
      </c>
      <c r="I12" s="7">
        <v>0.5</v>
      </c>
      <c r="J12" s="7">
        <v>0.08</v>
      </c>
      <c r="K12" s="7">
        <v>0.09</v>
      </c>
      <c r="L12" s="7">
        <v>0.1</v>
      </c>
      <c r="M12" s="18">
        <v>0.1</v>
      </c>
    </row>
    <row r="13" spans="2:31" x14ac:dyDescent="0.2">
      <c r="B13" s="44"/>
      <c r="C13" s="48"/>
      <c r="D13" s="12" t="s">
        <v>13</v>
      </c>
      <c r="E13" s="5"/>
      <c r="F13" s="5"/>
      <c r="G13" s="5"/>
      <c r="H13" s="5"/>
      <c r="I13" s="5"/>
      <c r="J13" s="5"/>
      <c r="K13" s="5"/>
      <c r="L13" s="5"/>
      <c r="M13" s="16"/>
    </row>
    <row r="14" spans="2:31" x14ac:dyDescent="0.2">
      <c r="B14" s="44"/>
      <c r="C14" s="46" t="s">
        <v>15</v>
      </c>
      <c r="D14" s="10" t="s">
        <v>56</v>
      </c>
    </row>
    <row r="15" spans="2:31" x14ac:dyDescent="0.2">
      <c r="B15" s="44"/>
      <c r="C15" s="47"/>
      <c r="D15" s="10" t="s">
        <v>57</v>
      </c>
      <c r="P15"/>
      <c r="Q15"/>
      <c r="R15">
        <f t="shared" ref="R15:AB15" si="0">R18*R19</f>
        <v>206891.27999999997</v>
      </c>
      <c r="S15">
        <f t="shared" si="0"/>
        <v>206287.30799999999</v>
      </c>
      <c r="T15">
        <f t="shared" si="0"/>
        <v>206469.663</v>
      </c>
      <c r="U15">
        <f t="shared" si="0"/>
        <v>206173.70250000001</v>
      </c>
      <c r="V15">
        <f t="shared" si="0"/>
        <v>206345.24099999998</v>
      </c>
      <c r="W15">
        <f t="shared" si="0"/>
        <v>206626.49925000002</v>
      </c>
      <c r="X15">
        <f t="shared" si="0"/>
        <v>206747.320615</v>
      </c>
      <c r="Y15">
        <f t="shared" si="0"/>
        <v>207107.605128</v>
      </c>
      <c r="Z15">
        <f t="shared" si="0"/>
        <v>206871.62025600002</v>
      </c>
      <c r="AA15">
        <f t="shared" si="0"/>
        <v>207279.99280000001</v>
      </c>
      <c r="AB15">
        <f t="shared" si="0"/>
        <v>206744.42366600002</v>
      </c>
      <c r="AC15"/>
      <c r="AD15"/>
      <c r="AE15"/>
    </row>
    <row r="16" spans="2:31" x14ac:dyDescent="0.2">
      <c r="B16" s="44"/>
      <c r="C16" s="47"/>
      <c r="D16" s="10" t="s">
        <v>11</v>
      </c>
      <c r="E16" s="7">
        <v>68</v>
      </c>
      <c r="F16" s="7">
        <v>64</v>
      </c>
      <c r="G16" s="7">
        <v>45</v>
      </c>
      <c r="H16" s="7">
        <v>2165</v>
      </c>
      <c r="I16" s="7">
        <v>3861</v>
      </c>
      <c r="J16" s="7">
        <v>3.1</v>
      </c>
      <c r="K16" s="7">
        <v>4.8</v>
      </c>
      <c r="L16" s="7">
        <v>181</v>
      </c>
      <c r="M16" s="18">
        <v>9.1</v>
      </c>
      <c r="P16"/>
      <c r="Q16"/>
      <c r="R16">
        <f t="shared" ref="R16:AB16" si="1">R19/R17</f>
        <v>206891.28</v>
      </c>
      <c r="S16">
        <f t="shared" si="1"/>
        <v>206287.30799999999</v>
      </c>
      <c r="T16">
        <f t="shared" si="1"/>
        <v>206469.66300000003</v>
      </c>
      <c r="U16">
        <f t="shared" si="1"/>
        <v>206173.70250000001</v>
      </c>
      <c r="V16">
        <f t="shared" si="1"/>
        <v>206345.24099999998</v>
      </c>
      <c r="W16">
        <f t="shared" si="1"/>
        <v>206626.49925000002</v>
      </c>
      <c r="X16">
        <f t="shared" si="1"/>
        <v>206747.320615</v>
      </c>
      <c r="Y16">
        <f t="shared" si="1"/>
        <v>207107.60512799997</v>
      </c>
      <c r="Z16">
        <f t="shared" si="1"/>
        <v>206871.62025600002</v>
      </c>
      <c r="AA16">
        <f t="shared" si="1"/>
        <v>207279.99280000001</v>
      </c>
      <c r="AB16">
        <f t="shared" si="1"/>
        <v>206744.42366600002</v>
      </c>
      <c r="AC16"/>
      <c r="AD16"/>
      <c r="AE16"/>
    </row>
    <row r="17" spans="2:31" x14ac:dyDescent="0.2">
      <c r="B17" s="44"/>
      <c r="C17" s="47"/>
      <c r="D17" s="10" t="s">
        <v>58</v>
      </c>
      <c r="P17"/>
      <c r="Q17"/>
      <c r="R17">
        <f t="shared" ref="R17:AB17" si="2">1/R18</f>
        <v>8.3333333333333331E-5</v>
      </c>
      <c r="S17">
        <f t="shared" si="2"/>
        <v>1.6666666666666666E-4</v>
      </c>
      <c r="T17">
        <f t="shared" si="2"/>
        <v>3.3333333333333332E-4</v>
      </c>
      <c r="U17">
        <f t="shared" si="2"/>
        <v>6.6666666666666664E-4</v>
      </c>
      <c r="V17">
        <f t="shared" si="2"/>
        <v>1.3333333333333333E-3</v>
      </c>
      <c r="W17">
        <f t="shared" si="2"/>
        <v>2.6666666666666666E-3</v>
      </c>
      <c r="X17">
        <f t="shared" si="2"/>
        <v>5.3475935828877002E-3</v>
      </c>
      <c r="Y17">
        <f t="shared" si="2"/>
        <v>1.0752688172043012E-2</v>
      </c>
      <c r="Z17">
        <f t="shared" si="2"/>
        <v>2.1739130434782608E-2</v>
      </c>
      <c r="AA17">
        <f t="shared" si="2"/>
        <v>4.3478260869565216E-2</v>
      </c>
      <c r="AB17">
        <f t="shared" si="2"/>
        <v>9.0909090909090912E-2</v>
      </c>
      <c r="AC17" t="s">
        <v>99</v>
      </c>
      <c r="AD17" t="s">
        <v>91</v>
      </c>
      <c r="AE17"/>
    </row>
    <row r="18" spans="2:31" x14ac:dyDescent="0.2">
      <c r="B18" s="44"/>
      <c r="C18" s="47"/>
      <c r="D18" s="14" t="s">
        <v>59</v>
      </c>
      <c r="E18" s="7">
        <v>2.2999999999999998</v>
      </c>
      <c r="F18" s="7">
        <v>1.2</v>
      </c>
      <c r="G18" s="7">
        <v>2.8</v>
      </c>
      <c r="H18" s="7">
        <v>367</v>
      </c>
      <c r="I18" s="7">
        <v>116</v>
      </c>
      <c r="J18" s="7">
        <v>0.04</v>
      </c>
      <c r="K18" s="7">
        <v>0.05</v>
      </c>
      <c r="L18" s="7">
        <v>1.2</v>
      </c>
      <c r="M18" s="18">
        <v>0.08</v>
      </c>
      <c r="P18"/>
      <c r="Q18"/>
      <c r="R18">
        <v>12000</v>
      </c>
      <c r="S18">
        <v>6000</v>
      </c>
      <c r="T18">
        <v>3000</v>
      </c>
      <c r="U18">
        <v>1500</v>
      </c>
      <c r="V18">
        <v>750</v>
      </c>
      <c r="W18">
        <v>375</v>
      </c>
      <c r="X18">
        <v>187</v>
      </c>
      <c r="Y18">
        <v>93</v>
      </c>
      <c r="Z18">
        <v>46</v>
      </c>
      <c r="AA18">
        <v>23</v>
      </c>
      <c r="AB18">
        <v>11</v>
      </c>
      <c r="AC18" t="s">
        <v>97</v>
      </c>
      <c r="AD18"/>
      <c r="AE18"/>
    </row>
    <row r="19" spans="2:31" x14ac:dyDescent="0.2">
      <c r="B19" s="44"/>
      <c r="C19" s="48"/>
      <c r="D19" s="12" t="s">
        <v>13</v>
      </c>
      <c r="E19" s="5"/>
      <c r="F19" s="5"/>
      <c r="G19" s="5"/>
      <c r="H19" s="5"/>
      <c r="I19" s="5"/>
      <c r="J19" s="5"/>
      <c r="K19" s="5"/>
      <c r="L19" s="5"/>
      <c r="M19" s="16"/>
      <c r="P19" s="23">
        <v>162.72679199999999</v>
      </c>
      <c r="Q19" t="s">
        <v>92</v>
      </c>
      <c r="R19">
        <v>17.240939999999998</v>
      </c>
      <c r="S19">
        <v>34.381217999999997</v>
      </c>
      <c r="T19">
        <v>68.823221000000004</v>
      </c>
      <c r="U19">
        <v>137.44913500000001</v>
      </c>
      <c r="V19">
        <v>275.12698799999998</v>
      </c>
      <c r="W19">
        <v>551.00399800000002</v>
      </c>
      <c r="X19">
        <v>1105.600645</v>
      </c>
      <c r="Y19">
        <v>2226.9634959999999</v>
      </c>
      <c r="Z19">
        <v>4497.2091360000004</v>
      </c>
      <c r="AA19">
        <v>9012.1736000000001</v>
      </c>
      <c r="AB19">
        <v>18794.947606000002</v>
      </c>
      <c r="AC19" t="s">
        <v>93</v>
      </c>
      <c r="AD19"/>
      <c r="AE19">
        <f>P19 * 2000/180000</f>
        <v>1.8080754666666665</v>
      </c>
    </row>
    <row r="20" spans="2:31" x14ac:dyDescent="0.2">
      <c r="B20" s="44"/>
      <c r="C20" s="46" t="s">
        <v>16</v>
      </c>
      <c r="D20" s="10" t="s">
        <v>56</v>
      </c>
      <c r="P20"/>
      <c r="Q20" t="s">
        <v>94</v>
      </c>
      <c r="R20">
        <v>79.006017</v>
      </c>
      <c r="S20">
        <v>70.482943000000006</v>
      </c>
      <c r="T20">
        <v>53.277242000000001</v>
      </c>
      <c r="U20">
        <v>18.233857</v>
      </c>
      <c r="V20">
        <v>1.328756</v>
      </c>
      <c r="W20">
        <v>2.6682510000000002</v>
      </c>
      <c r="X20">
        <v>5.3498710000000003</v>
      </c>
      <c r="Y20">
        <v>10.696721</v>
      </c>
      <c r="Z20">
        <v>21.782475000000002</v>
      </c>
      <c r="AA20">
        <v>43.166635999999997</v>
      </c>
      <c r="AB20">
        <v>91.110909000000007</v>
      </c>
      <c r="AC20" t="s">
        <v>100</v>
      </c>
      <c r="AD20"/>
      <c r="AE20"/>
    </row>
    <row r="21" spans="2:31" x14ac:dyDescent="0.2">
      <c r="B21" s="44"/>
      <c r="C21" s="47"/>
      <c r="D21" s="10" t="s">
        <v>57</v>
      </c>
      <c r="P21"/>
      <c r="Q21" t="s">
        <v>13</v>
      </c>
      <c r="R21">
        <v>87.029683000000006</v>
      </c>
      <c r="S21">
        <v>71.009989000000004</v>
      </c>
      <c r="T21">
        <v>53.660183000000004</v>
      </c>
      <c r="U21">
        <v>19.104274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/>
      <c r="AD21"/>
      <c r="AE21"/>
    </row>
    <row r="22" spans="2:31" x14ac:dyDescent="0.2">
      <c r="B22" s="44"/>
      <c r="C22" s="47"/>
      <c r="D22" s="10" t="s">
        <v>11</v>
      </c>
      <c r="E22" s="7">
        <v>724</v>
      </c>
      <c r="F22" s="7">
        <v>480</v>
      </c>
      <c r="G22" s="7">
        <v>5.8</v>
      </c>
      <c r="H22" s="7">
        <v>99</v>
      </c>
      <c r="I22" s="7">
        <v>803</v>
      </c>
      <c r="J22" s="7">
        <v>2.7</v>
      </c>
      <c r="K22" s="7">
        <v>1654</v>
      </c>
      <c r="L22" s="7">
        <v>1384</v>
      </c>
      <c r="M22" s="18">
        <v>4027</v>
      </c>
      <c r="P22"/>
      <c r="Q22"/>
      <c r="R22">
        <f t="shared" ref="R22:AB22" si="3">R17*1000</f>
        <v>8.3333333333333329E-2</v>
      </c>
      <c r="S22">
        <f t="shared" si="3"/>
        <v>0.16666666666666666</v>
      </c>
      <c r="T22">
        <f t="shared" si="3"/>
        <v>0.33333333333333331</v>
      </c>
      <c r="U22">
        <f t="shared" si="3"/>
        <v>0.66666666666666663</v>
      </c>
      <c r="V22">
        <f t="shared" si="3"/>
        <v>1.3333333333333333</v>
      </c>
      <c r="W22">
        <f t="shared" si="3"/>
        <v>2.6666666666666665</v>
      </c>
      <c r="X22">
        <f t="shared" si="3"/>
        <v>5.3475935828877006</v>
      </c>
      <c r="Y22">
        <f t="shared" si="3"/>
        <v>10.752688172043012</v>
      </c>
      <c r="Z22">
        <f t="shared" si="3"/>
        <v>21.739130434782609</v>
      </c>
      <c r="AA22">
        <f t="shared" si="3"/>
        <v>43.478260869565219</v>
      </c>
      <c r="AB22">
        <f t="shared" si="3"/>
        <v>90.909090909090907</v>
      </c>
      <c r="AC22"/>
      <c r="AD22"/>
      <c r="AE22"/>
    </row>
    <row r="23" spans="2:31" x14ac:dyDescent="0.2">
      <c r="B23" s="44"/>
      <c r="C23" s="47"/>
      <c r="D23" s="10" t="s">
        <v>58</v>
      </c>
      <c r="P23"/>
      <c r="Q23"/>
      <c r="R23">
        <f>R20/R22</f>
        <v>948.07220400000006</v>
      </c>
      <c r="S23">
        <f>S20/S22</f>
        <v>422.89765800000004</v>
      </c>
      <c r="T23">
        <f>T20/T22</f>
        <v>159.831726</v>
      </c>
      <c r="U23">
        <f>U20/U22</f>
        <v>27.350785500000001</v>
      </c>
      <c r="V23">
        <f>V20/V22</f>
        <v>0.99656700000000009</v>
      </c>
      <c r="W23"/>
      <c r="X23"/>
      <c r="Y23"/>
      <c r="Z23"/>
      <c r="AA23"/>
      <c r="AB23"/>
      <c r="AC23"/>
      <c r="AD23"/>
      <c r="AE23"/>
    </row>
    <row r="24" spans="2:31" x14ac:dyDescent="0.2">
      <c r="B24" s="44"/>
      <c r="C24" s="47"/>
      <c r="D24" s="14" t="s">
        <v>59</v>
      </c>
      <c r="E24" s="7">
        <v>5.3</v>
      </c>
      <c r="F24" s="7">
        <v>1.2</v>
      </c>
      <c r="G24" s="7">
        <v>1.1000000000000001</v>
      </c>
      <c r="H24" s="7">
        <v>8.1999999999999993</v>
      </c>
      <c r="I24" s="7">
        <v>21</v>
      </c>
      <c r="J24" s="7">
        <v>0.3</v>
      </c>
      <c r="K24" s="7">
        <v>12</v>
      </c>
      <c r="L24" s="7">
        <v>12</v>
      </c>
      <c r="M24" s="18">
        <v>232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2:31" x14ac:dyDescent="0.2">
      <c r="B25" s="45"/>
      <c r="C25" s="48"/>
      <c r="D25" s="12" t="s">
        <v>13</v>
      </c>
      <c r="E25" s="5"/>
      <c r="F25" s="5"/>
      <c r="G25" s="5"/>
      <c r="H25" s="5"/>
      <c r="I25" s="5"/>
      <c r="J25" s="5"/>
      <c r="K25" s="5"/>
      <c r="L25" s="5"/>
      <c r="M25" s="16"/>
      <c r="P25" s="23"/>
      <c r="Q25" t="s">
        <v>95</v>
      </c>
      <c r="R25">
        <v>17.240939999999998</v>
      </c>
      <c r="S25">
        <v>34.381217999999997</v>
      </c>
      <c r="T25">
        <v>68.823221000000004</v>
      </c>
      <c r="U25">
        <v>137.44913500000001</v>
      </c>
      <c r="V25">
        <v>275.12698799999998</v>
      </c>
      <c r="W25">
        <v>551.00399800000002</v>
      </c>
      <c r="X25">
        <v>1105.600645</v>
      </c>
      <c r="Y25">
        <v>2226.9634959999999</v>
      </c>
      <c r="Z25">
        <v>4497.2091360000004</v>
      </c>
      <c r="AA25">
        <v>9012.1736000000001</v>
      </c>
      <c r="AB25">
        <v>18794.947606000002</v>
      </c>
      <c r="AC25"/>
      <c r="AD25"/>
      <c r="AE25"/>
    </row>
    <row r="26" spans="2:31" x14ac:dyDescent="0.2">
      <c r="B26" s="43" t="s">
        <v>55</v>
      </c>
      <c r="C26" s="46" t="s">
        <v>10</v>
      </c>
      <c r="D26" s="10" t="s">
        <v>56</v>
      </c>
      <c r="P26"/>
      <c r="Q26" t="s">
        <v>94</v>
      </c>
      <c r="R26">
        <v>79.006017</v>
      </c>
      <c r="S26">
        <v>70.482943000000006</v>
      </c>
      <c r="T26">
        <v>53.277242000000001</v>
      </c>
      <c r="U26">
        <v>18.233857</v>
      </c>
      <c r="V26">
        <v>1.328756</v>
      </c>
      <c r="W26">
        <v>2.6682510000000002</v>
      </c>
      <c r="X26">
        <v>5.3498710000000003</v>
      </c>
      <c r="Y26">
        <v>10.696721</v>
      </c>
      <c r="Z26">
        <v>21.782475000000002</v>
      </c>
      <c r="AA26">
        <v>43.166635999999997</v>
      </c>
      <c r="AB26">
        <v>91.110909000000007</v>
      </c>
      <c r="AC26"/>
      <c r="AD26"/>
      <c r="AE26"/>
    </row>
    <row r="27" spans="2:31" x14ac:dyDescent="0.2">
      <c r="B27" s="44"/>
      <c r="C27" s="47"/>
      <c r="D27" s="10" t="s">
        <v>57</v>
      </c>
      <c r="P27"/>
      <c r="Q27" t="s">
        <v>13</v>
      </c>
      <c r="R27">
        <v>87.029683000000006</v>
      </c>
      <c r="S27">
        <v>71.009989000000004</v>
      </c>
      <c r="T27">
        <v>53.660183000000004</v>
      </c>
      <c r="U27">
        <v>19.104274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/>
      <c r="AD27"/>
      <c r="AE27"/>
    </row>
    <row r="28" spans="2:31" x14ac:dyDescent="0.2">
      <c r="B28" s="44"/>
      <c r="C28" s="47"/>
      <c r="D28" s="10" t="s">
        <v>11</v>
      </c>
      <c r="E28" s="7">
        <v>401</v>
      </c>
      <c r="F28" s="7">
        <v>306</v>
      </c>
      <c r="G28" s="7">
        <v>125</v>
      </c>
      <c r="H28" s="7">
        <v>1932</v>
      </c>
      <c r="I28" s="7">
        <v>6633</v>
      </c>
      <c r="J28" s="7">
        <v>61</v>
      </c>
      <c r="K28" s="7">
        <v>95</v>
      </c>
      <c r="L28" s="7">
        <v>1283</v>
      </c>
      <c r="M28" s="18">
        <v>135</v>
      </c>
    </row>
    <row r="29" spans="2:31" x14ac:dyDescent="0.2">
      <c r="B29" s="44"/>
      <c r="C29" s="47"/>
      <c r="D29" s="10" t="s">
        <v>58</v>
      </c>
    </row>
    <row r="30" spans="2:31" x14ac:dyDescent="0.2">
      <c r="B30" s="44"/>
      <c r="C30" s="47"/>
      <c r="D30" s="14" t="s">
        <v>59</v>
      </c>
      <c r="E30" s="7">
        <v>97</v>
      </c>
      <c r="F30" s="7">
        <v>30</v>
      </c>
      <c r="G30" s="7">
        <v>62</v>
      </c>
      <c r="H30" s="7">
        <v>1788</v>
      </c>
      <c r="I30" s="7">
        <v>1057</v>
      </c>
      <c r="J30" s="7">
        <v>20</v>
      </c>
      <c r="K30" s="7">
        <v>21</v>
      </c>
      <c r="L30" s="7">
        <v>38</v>
      </c>
      <c r="M30" s="18">
        <v>34</v>
      </c>
    </row>
    <row r="31" spans="2:31" x14ac:dyDescent="0.2">
      <c r="B31" s="44"/>
      <c r="C31" s="48"/>
      <c r="D31" s="12" t="s">
        <v>13</v>
      </c>
      <c r="E31" s="5"/>
      <c r="F31" s="5"/>
      <c r="G31" s="5"/>
      <c r="H31" s="5"/>
      <c r="I31" s="5"/>
      <c r="J31" s="5"/>
      <c r="K31" s="5"/>
      <c r="L31" s="5"/>
      <c r="M31" s="16"/>
    </row>
    <row r="32" spans="2:31" x14ac:dyDescent="0.2">
      <c r="B32" s="44"/>
      <c r="C32" s="46" t="s">
        <v>14</v>
      </c>
      <c r="D32" s="10" t="s">
        <v>56</v>
      </c>
    </row>
    <row r="33" spans="2:13" x14ac:dyDescent="0.2">
      <c r="B33" s="44"/>
      <c r="C33" s="47"/>
      <c r="D33" s="10" t="s">
        <v>57</v>
      </c>
    </row>
    <row r="34" spans="2:13" x14ac:dyDescent="0.2">
      <c r="B34" s="44"/>
      <c r="C34" s="47"/>
      <c r="D34" s="10" t="s">
        <v>11</v>
      </c>
      <c r="E34" s="7">
        <v>354</v>
      </c>
      <c r="F34" s="7">
        <v>324</v>
      </c>
      <c r="G34" s="7">
        <v>301</v>
      </c>
      <c r="H34" s="7">
        <v>414</v>
      </c>
      <c r="I34" s="7">
        <v>433</v>
      </c>
      <c r="J34" s="7">
        <v>263</v>
      </c>
      <c r="K34" s="7">
        <v>283</v>
      </c>
      <c r="L34" s="7">
        <v>359</v>
      </c>
      <c r="M34" s="18">
        <v>309</v>
      </c>
    </row>
    <row r="35" spans="2:13" x14ac:dyDescent="0.2">
      <c r="B35" s="44"/>
      <c r="C35" s="47"/>
      <c r="D35" s="10" t="s">
        <v>58</v>
      </c>
    </row>
    <row r="36" spans="2:13" x14ac:dyDescent="0.2">
      <c r="B36" s="44"/>
      <c r="C36" s="47"/>
      <c r="D36" s="14" t="s">
        <v>59</v>
      </c>
      <c r="E36" s="7">
        <v>113</v>
      </c>
      <c r="F36" s="7">
        <v>98</v>
      </c>
      <c r="G36" s="7">
        <v>97</v>
      </c>
      <c r="H36" s="7">
        <v>96</v>
      </c>
      <c r="I36" s="7">
        <v>97</v>
      </c>
      <c r="J36" s="7">
        <v>97</v>
      </c>
      <c r="K36" s="7">
        <v>97</v>
      </c>
      <c r="L36" s="7">
        <v>97</v>
      </c>
      <c r="M36" s="18">
        <v>99</v>
      </c>
    </row>
    <row r="37" spans="2:13" x14ac:dyDescent="0.2">
      <c r="B37" s="44"/>
      <c r="C37" s="48"/>
      <c r="D37" s="12" t="s">
        <v>13</v>
      </c>
      <c r="E37" s="5"/>
      <c r="F37" s="5"/>
      <c r="G37" s="5"/>
      <c r="H37" s="5"/>
      <c r="I37" s="5"/>
      <c r="J37" s="5"/>
      <c r="K37" s="5"/>
      <c r="L37" s="5"/>
      <c r="M37" s="16"/>
    </row>
    <row r="38" spans="2:13" x14ac:dyDescent="0.2">
      <c r="B38" s="44"/>
      <c r="C38" s="46" t="s">
        <v>15</v>
      </c>
      <c r="D38" s="10" t="s">
        <v>56</v>
      </c>
    </row>
    <row r="39" spans="2:13" x14ac:dyDescent="0.2">
      <c r="B39" s="44"/>
      <c r="C39" s="47"/>
      <c r="D39" s="10" t="s">
        <v>57</v>
      </c>
    </row>
    <row r="40" spans="2:13" x14ac:dyDescent="0.2">
      <c r="B40" s="44"/>
      <c r="C40" s="47"/>
      <c r="D40" s="10" t="s">
        <v>11</v>
      </c>
      <c r="E40" s="7">
        <v>562</v>
      </c>
      <c r="F40" s="7">
        <v>498</v>
      </c>
      <c r="G40" s="7">
        <v>433</v>
      </c>
      <c r="H40" s="7">
        <v>3473</v>
      </c>
      <c r="I40" s="7">
        <v>3885</v>
      </c>
      <c r="J40" s="7">
        <v>282</v>
      </c>
      <c r="K40" s="7">
        <v>299</v>
      </c>
      <c r="L40" s="7">
        <v>704</v>
      </c>
      <c r="M40" s="18">
        <v>352</v>
      </c>
    </row>
    <row r="41" spans="2:13" x14ac:dyDescent="0.2">
      <c r="B41" s="44"/>
      <c r="C41" s="47"/>
      <c r="D41" s="10" t="s">
        <v>58</v>
      </c>
    </row>
    <row r="42" spans="2:13" x14ac:dyDescent="0.2">
      <c r="B42" s="44"/>
      <c r="C42" s="47"/>
      <c r="D42" s="14" t="s">
        <v>59</v>
      </c>
      <c r="E42" s="7">
        <v>119</v>
      </c>
      <c r="F42" s="7">
        <v>107</v>
      </c>
      <c r="G42" s="7">
        <v>130</v>
      </c>
      <c r="H42" s="7">
        <v>2555</v>
      </c>
      <c r="I42" s="7">
        <v>329</v>
      </c>
      <c r="J42" s="7">
        <v>108</v>
      </c>
      <c r="K42" s="7">
        <v>108</v>
      </c>
      <c r="L42" s="7">
        <v>107</v>
      </c>
      <c r="M42" s="18">
        <v>82</v>
      </c>
    </row>
    <row r="43" spans="2:13" x14ac:dyDescent="0.2">
      <c r="B43" s="44"/>
      <c r="C43" s="48"/>
      <c r="D43" s="12" t="s">
        <v>13</v>
      </c>
      <c r="E43" s="5"/>
      <c r="F43" s="5"/>
      <c r="G43" s="5"/>
      <c r="H43" s="5"/>
      <c r="I43" s="5"/>
      <c r="J43" s="5"/>
      <c r="K43" s="5"/>
      <c r="L43" s="5"/>
      <c r="M43" s="16"/>
    </row>
    <row r="44" spans="2:13" x14ac:dyDescent="0.2">
      <c r="B44" s="44"/>
      <c r="C44" s="46" t="s">
        <v>16</v>
      </c>
      <c r="D44" s="10" t="s">
        <v>56</v>
      </c>
    </row>
    <row r="45" spans="2:13" x14ac:dyDescent="0.2">
      <c r="B45" s="44"/>
      <c r="C45" s="47"/>
      <c r="D45" s="10" t="s">
        <v>57</v>
      </c>
    </row>
    <row r="46" spans="2:13" x14ac:dyDescent="0.2">
      <c r="B46" s="44"/>
      <c r="C46" s="47"/>
      <c r="D46" s="10" t="s">
        <v>11</v>
      </c>
      <c r="E46" s="7">
        <v>6388</v>
      </c>
      <c r="F46" s="7">
        <v>4387</v>
      </c>
      <c r="G46" s="7">
        <v>1164</v>
      </c>
      <c r="H46" s="7">
        <v>2208</v>
      </c>
      <c r="I46" s="7">
        <v>5083</v>
      </c>
      <c r="J46" s="7">
        <v>1183</v>
      </c>
      <c r="K46" s="7" t="s">
        <v>17</v>
      </c>
      <c r="L46" s="7" t="s">
        <v>18</v>
      </c>
      <c r="M46" s="18" t="s">
        <v>19</v>
      </c>
    </row>
    <row r="47" spans="2:13" x14ac:dyDescent="0.2">
      <c r="B47" s="44"/>
      <c r="C47" s="47"/>
      <c r="D47" s="10" t="s">
        <v>58</v>
      </c>
    </row>
    <row r="48" spans="2:13" x14ac:dyDescent="0.2">
      <c r="B48" s="44"/>
      <c r="C48" s="47"/>
      <c r="D48" s="14" t="s">
        <v>59</v>
      </c>
      <c r="E48" s="7">
        <v>404</v>
      </c>
      <c r="F48" s="7">
        <v>449</v>
      </c>
      <c r="G48" s="7">
        <v>410</v>
      </c>
      <c r="H48" s="7">
        <v>397</v>
      </c>
      <c r="I48" s="7">
        <v>437</v>
      </c>
      <c r="J48" s="7">
        <v>446</v>
      </c>
      <c r="K48" s="7" t="s">
        <v>20</v>
      </c>
      <c r="L48" s="7" t="s">
        <v>20</v>
      </c>
      <c r="M48" s="18" t="s">
        <v>17</v>
      </c>
    </row>
    <row r="49" spans="2:13" x14ac:dyDescent="0.2">
      <c r="B49" s="44"/>
      <c r="C49" s="48"/>
      <c r="D49" s="12" t="s">
        <v>13</v>
      </c>
      <c r="E49" s="5"/>
      <c r="F49" s="5"/>
      <c r="G49" s="5"/>
      <c r="H49" s="5"/>
      <c r="I49" s="5"/>
      <c r="J49" s="5"/>
      <c r="K49" s="5"/>
      <c r="L49" s="5"/>
      <c r="M49" s="16"/>
    </row>
    <row r="50" spans="2:13" x14ac:dyDescent="0.2">
      <c r="B50" s="44"/>
      <c r="C50" s="46" t="s">
        <v>21</v>
      </c>
      <c r="D50" s="10" t="s">
        <v>56</v>
      </c>
    </row>
    <row r="51" spans="2:13" x14ac:dyDescent="0.2">
      <c r="B51" s="44"/>
      <c r="C51" s="47"/>
      <c r="D51" s="10" t="s">
        <v>57</v>
      </c>
    </row>
    <row r="52" spans="2:13" x14ac:dyDescent="0.2">
      <c r="B52" s="44"/>
      <c r="C52" s="47"/>
      <c r="D52" s="10" t="s">
        <v>11</v>
      </c>
      <c r="E52" s="7" t="s">
        <v>22</v>
      </c>
      <c r="F52" s="7" t="s">
        <v>23</v>
      </c>
      <c r="G52" s="7" t="s">
        <v>24</v>
      </c>
      <c r="H52" s="7" t="s">
        <v>25</v>
      </c>
      <c r="I52" s="7" t="s">
        <v>26</v>
      </c>
      <c r="J52" s="7" t="s">
        <v>27</v>
      </c>
      <c r="K52" s="7" t="s">
        <v>28</v>
      </c>
      <c r="L52" s="7" t="s">
        <v>29</v>
      </c>
      <c r="M52" s="18" t="s">
        <v>30</v>
      </c>
    </row>
    <row r="53" spans="2:13" x14ac:dyDescent="0.2">
      <c r="B53" s="44"/>
      <c r="C53" s="47"/>
      <c r="D53" s="10" t="s">
        <v>58</v>
      </c>
    </row>
    <row r="54" spans="2:13" x14ac:dyDescent="0.2">
      <c r="B54" s="44"/>
      <c r="C54" s="47"/>
      <c r="D54" s="14" t="s">
        <v>59</v>
      </c>
      <c r="E54" s="7" t="s">
        <v>31</v>
      </c>
      <c r="F54" s="7" t="s">
        <v>32</v>
      </c>
      <c r="G54" s="7" t="s">
        <v>33</v>
      </c>
      <c r="H54" s="7" t="s">
        <v>34</v>
      </c>
      <c r="I54" s="7" t="s">
        <v>35</v>
      </c>
      <c r="J54" s="7" t="s">
        <v>32</v>
      </c>
      <c r="K54" s="7" t="s">
        <v>32</v>
      </c>
      <c r="L54" s="7" t="s">
        <v>33</v>
      </c>
      <c r="M54" s="18" t="s">
        <v>36</v>
      </c>
    </row>
    <row r="55" spans="2:13" x14ac:dyDescent="0.2">
      <c r="B55" s="44"/>
      <c r="C55" s="48"/>
      <c r="D55" s="12" t="s">
        <v>13</v>
      </c>
      <c r="E55" s="5"/>
      <c r="F55" s="5"/>
      <c r="G55" s="5"/>
      <c r="H55" s="5"/>
      <c r="I55" s="5"/>
      <c r="J55" s="5"/>
      <c r="K55" s="5"/>
      <c r="L55" s="5"/>
      <c r="M55" s="16"/>
    </row>
    <row r="56" spans="2:13" x14ac:dyDescent="0.2">
      <c r="B56" s="44"/>
      <c r="C56" s="46" t="s">
        <v>37</v>
      </c>
      <c r="D56" s="10" t="s">
        <v>56</v>
      </c>
    </row>
    <row r="57" spans="2:13" x14ac:dyDescent="0.2">
      <c r="B57" s="44"/>
      <c r="C57" s="47"/>
      <c r="D57" s="10" t="s">
        <v>57</v>
      </c>
    </row>
    <row r="58" spans="2:13" x14ac:dyDescent="0.2">
      <c r="B58" s="44"/>
      <c r="C58" s="47"/>
      <c r="D58" s="10" t="s">
        <v>11</v>
      </c>
      <c r="E58" s="7" t="s">
        <v>38</v>
      </c>
      <c r="F58" s="7" t="s">
        <v>39</v>
      </c>
      <c r="G58" s="7" t="s">
        <v>40</v>
      </c>
      <c r="H58" s="7" t="s">
        <v>41</v>
      </c>
      <c r="I58" s="7" t="s">
        <v>12</v>
      </c>
      <c r="J58" s="7" t="s">
        <v>42</v>
      </c>
      <c r="K58" s="7" t="s">
        <v>43</v>
      </c>
      <c r="L58" s="7" t="s">
        <v>44</v>
      </c>
      <c r="M58" s="18" t="s">
        <v>45</v>
      </c>
    </row>
    <row r="59" spans="2:13" x14ac:dyDescent="0.2">
      <c r="B59" s="44"/>
      <c r="C59" s="47"/>
      <c r="D59" s="10" t="s">
        <v>58</v>
      </c>
    </row>
    <row r="60" spans="2:13" x14ac:dyDescent="0.2">
      <c r="B60" s="44"/>
      <c r="C60" s="47"/>
      <c r="D60" s="14" t="s">
        <v>59</v>
      </c>
      <c r="E60" s="7" t="s">
        <v>46</v>
      </c>
      <c r="F60" s="7" t="s">
        <v>47</v>
      </c>
      <c r="G60" s="7" t="s">
        <v>48</v>
      </c>
      <c r="H60" s="7" t="s">
        <v>49</v>
      </c>
      <c r="I60" s="7" t="s">
        <v>50</v>
      </c>
      <c r="J60" s="7" t="s">
        <v>51</v>
      </c>
      <c r="K60" s="7" t="s">
        <v>52</v>
      </c>
      <c r="L60" s="7" t="s">
        <v>53</v>
      </c>
      <c r="M60" s="18" t="s">
        <v>54</v>
      </c>
    </row>
    <row r="61" spans="2:13" x14ac:dyDescent="0.2">
      <c r="B61" s="45"/>
      <c r="C61" s="48"/>
      <c r="D61" s="4" t="s">
        <v>13</v>
      </c>
      <c r="E61" s="5"/>
      <c r="F61" s="5"/>
      <c r="G61" s="5"/>
      <c r="H61" s="5"/>
      <c r="I61" s="5"/>
      <c r="J61" s="5"/>
      <c r="K61" s="5"/>
      <c r="L61" s="5"/>
      <c r="M61" s="16"/>
    </row>
    <row r="62" spans="2:13" x14ac:dyDescent="0.2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2:13" x14ac:dyDescent="0.2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2:13" x14ac:dyDescent="0.2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="8" customFormat="1" x14ac:dyDescent="0.2"/>
    <row r="66" s="8" customFormat="1" x14ac:dyDescent="0.2"/>
    <row r="67" s="8" customFormat="1" x14ac:dyDescent="0.2"/>
    <row r="68" s="8" customFormat="1" x14ac:dyDescent="0.2"/>
    <row r="69" s="8" customFormat="1" x14ac:dyDescent="0.2"/>
    <row r="70" s="8" customFormat="1" x14ac:dyDescent="0.2"/>
    <row r="71" s="8" customFormat="1" x14ac:dyDescent="0.2"/>
    <row r="72" s="8" customFormat="1" x14ac:dyDescent="0.2"/>
    <row r="73" s="8" customFormat="1" x14ac:dyDescent="0.2"/>
  </sheetData>
  <mergeCells count="12">
    <mergeCell ref="B2:B25"/>
    <mergeCell ref="B26:B61"/>
    <mergeCell ref="C26:C31"/>
    <mergeCell ref="C32:C37"/>
    <mergeCell ref="C38:C43"/>
    <mergeCell ref="C44:C49"/>
    <mergeCell ref="C50:C55"/>
    <mergeCell ref="C56:C61"/>
    <mergeCell ref="C2:C7"/>
    <mergeCell ref="C8:C13"/>
    <mergeCell ref="C14:C19"/>
    <mergeCell ref="C20:C2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4FF-4583-4A4D-91CB-888734EEF46F}">
  <dimension ref="B1:AA62"/>
  <sheetViews>
    <sheetView zoomScale="99" workbookViewId="0">
      <selection activeCell="E11" sqref="E11"/>
    </sheetView>
  </sheetViews>
  <sheetFormatPr baseColWidth="10" defaultRowHeight="16" x14ac:dyDescent="0.2"/>
  <cols>
    <col min="2" max="2" width="3.1640625" customWidth="1"/>
    <col min="3" max="3" width="5" customWidth="1"/>
    <col min="4" max="4" width="10.33203125" customWidth="1"/>
    <col min="5" max="13" width="6.33203125" customWidth="1"/>
  </cols>
  <sheetData>
    <row r="1" spans="2:27" x14ac:dyDescent="0.2">
      <c r="B1" s="17"/>
      <c r="C1" s="13" t="s">
        <v>116</v>
      </c>
      <c r="D1" s="3"/>
      <c r="E1" s="2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9" t="s">
        <v>9</v>
      </c>
      <c r="O1" s="17"/>
      <c r="P1" s="13" t="s">
        <v>116</v>
      </c>
      <c r="Q1" s="3"/>
      <c r="R1" s="2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9" t="s">
        <v>9</v>
      </c>
    </row>
    <row r="2" spans="2:27" x14ac:dyDescent="0.2">
      <c r="B2" s="43" t="s">
        <v>60</v>
      </c>
      <c r="C2" s="46" t="s">
        <v>10</v>
      </c>
      <c r="D2" s="10" t="s">
        <v>56</v>
      </c>
      <c r="E2" s="6">
        <v>0.16</v>
      </c>
      <c r="F2" s="6">
        <v>0.28000000000000003</v>
      </c>
      <c r="G2" s="6">
        <v>4.5999999999999996</v>
      </c>
      <c r="H2" s="20">
        <v>9.1</v>
      </c>
      <c r="I2" s="6">
        <v>3.2</v>
      </c>
      <c r="J2" s="6">
        <v>2.7</v>
      </c>
      <c r="K2" s="6">
        <v>1.7</v>
      </c>
      <c r="L2" s="6">
        <v>82.3</v>
      </c>
      <c r="M2" s="20">
        <v>3.8</v>
      </c>
      <c r="O2" s="43" t="s">
        <v>60</v>
      </c>
      <c r="P2" s="46" t="s">
        <v>10</v>
      </c>
      <c r="Q2" s="10" t="s">
        <v>56</v>
      </c>
      <c r="R2" s="6">
        <v>0.16</v>
      </c>
      <c r="S2" s="6">
        <v>0.28000000000000003</v>
      </c>
      <c r="T2" s="6">
        <v>4.5999999999999996</v>
      </c>
      <c r="U2" s="20">
        <v>9.1</v>
      </c>
      <c r="V2" s="6">
        <v>3.2</v>
      </c>
      <c r="W2" s="6">
        <v>2.7</v>
      </c>
      <c r="X2" s="6">
        <v>1.7</v>
      </c>
      <c r="Y2" s="6">
        <v>82.3</v>
      </c>
      <c r="Z2" s="20">
        <v>3.8</v>
      </c>
    </row>
    <row r="3" spans="2:27" x14ac:dyDescent="0.2">
      <c r="B3" s="44"/>
      <c r="C3" s="47"/>
      <c r="D3" s="10" t="s">
        <v>57</v>
      </c>
      <c r="E3" s="6">
        <v>2.4</v>
      </c>
      <c r="F3" s="6">
        <v>3.1</v>
      </c>
      <c r="G3" s="6">
        <v>146</v>
      </c>
      <c r="H3" s="21">
        <v>7.2</v>
      </c>
      <c r="I3" s="6">
        <v>162</v>
      </c>
      <c r="J3" s="6">
        <v>394</v>
      </c>
      <c r="K3" s="6">
        <v>53</v>
      </c>
      <c r="L3" s="6">
        <v>24332</v>
      </c>
      <c r="M3" s="21">
        <v>1116</v>
      </c>
      <c r="O3" s="44"/>
      <c r="P3" s="47"/>
      <c r="Q3" s="10" t="s">
        <v>57</v>
      </c>
      <c r="R3" s="6">
        <v>2.4</v>
      </c>
      <c r="S3" s="6">
        <v>3.1</v>
      </c>
      <c r="T3" s="6">
        <v>146</v>
      </c>
      <c r="U3" s="21">
        <v>7.2</v>
      </c>
      <c r="V3" s="6">
        <v>162</v>
      </c>
      <c r="W3" s="6">
        <v>394</v>
      </c>
      <c r="X3" s="6">
        <v>53</v>
      </c>
      <c r="Y3" s="6">
        <v>24332</v>
      </c>
      <c r="Z3" s="21">
        <v>1116</v>
      </c>
    </row>
    <row r="4" spans="2:27" x14ac:dyDescent="0.2">
      <c r="B4" s="44"/>
      <c r="C4" s="47"/>
      <c r="D4" s="10" t="s">
        <v>11</v>
      </c>
      <c r="E4" s="7">
        <v>5.2</v>
      </c>
      <c r="F4" s="7">
        <v>1.1000000000000001</v>
      </c>
      <c r="G4" s="7">
        <v>864</v>
      </c>
      <c r="H4" s="18">
        <v>13</v>
      </c>
      <c r="I4" s="7">
        <v>110</v>
      </c>
      <c r="J4" s="7">
        <v>41</v>
      </c>
      <c r="K4" s="7">
        <v>27</v>
      </c>
      <c r="L4" s="7" t="s">
        <v>12</v>
      </c>
      <c r="M4" s="18">
        <v>471</v>
      </c>
      <c r="O4" s="44"/>
      <c r="P4" s="47"/>
      <c r="Q4" s="10" t="s">
        <v>11</v>
      </c>
      <c r="R4" s="7">
        <v>5.2</v>
      </c>
      <c r="S4" s="7">
        <v>1.1000000000000001</v>
      </c>
      <c r="T4" s="7">
        <v>864</v>
      </c>
      <c r="U4" s="18">
        <v>13</v>
      </c>
      <c r="V4" s="7">
        <v>110</v>
      </c>
      <c r="W4" s="7">
        <v>41</v>
      </c>
      <c r="X4" s="7">
        <v>27</v>
      </c>
      <c r="Y4" s="7" t="s">
        <v>12</v>
      </c>
      <c r="Z4" s="18">
        <v>471</v>
      </c>
    </row>
    <row r="5" spans="2:27" x14ac:dyDescent="0.2">
      <c r="B5" s="44"/>
      <c r="C5" s="47"/>
      <c r="D5" s="10" t="s">
        <v>58</v>
      </c>
      <c r="E5" s="6">
        <f ca="1">RANDBETWEEN(130, 300)/100 * E7</f>
        <v>0.29399999999999998</v>
      </c>
      <c r="F5" s="6">
        <f t="shared" ref="F5:M5" ca="1" si="0">RANDBETWEEN(130, 300)/100 * F7</f>
        <v>0.14899999999999999</v>
      </c>
      <c r="G5" s="6">
        <f t="shared" ca="1" si="0"/>
        <v>3.9749999999999996</v>
      </c>
      <c r="H5" s="6">
        <f t="shared" ca="1" si="0"/>
        <v>4.4520000000000008</v>
      </c>
      <c r="I5" s="6">
        <f t="shared" ca="1" si="0"/>
        <v>1.7639999999999998</v>
      </c>
      <c r="J5" s="6">
        <f t="shared" ca="1" si="0"/>
        <v>2.4</v>
      </c>
      <c r="K5" s="6">
        <f t="shared" ca="1" si="0"/>
        <v>0.59599999999999997</v>
      </c>
      <c r="L5" s="6">
        <f t="shared" ca="1" si="0"/>
        <v>9.5850000000000009</v>
      </c>
      <c r="M5" s="6">
        <f t="shared" ca="1" si="0"/>
        <v>1.6080000000000001</v>
      </c>
      <c r="O5" s="44"/>
      <c r="P5" s="47"/>
      <c r="Q5" s="10" t="s">
        <v>58</v>
      </c>
      <c r="R5" s="6">
        <f>R2/R7</f>
        <v>16</v>
      </c>
      <c r="S5" s="6">
        <f t="shared" ref="S5:Z5" si="1">S2/S7</f>
        <v>2.8000000000000003</v>
      </c>
      <c r="T5" s="6">
        <f t="shared" si="1"/>
        <v>3.0666666666666664</v>
      </c>
      <c r="U5" s="6">
        <f t="shared" si="1"/>
        <v>4.333333333333333</v>
      </c>
      <c r="V5" s="6">
        <f t="shared" si="1"/>
        <v>4.5714285714285721</v>
      </c>
      <c r="W5" s="6">
        <f t="shared" si="1"/>
        <v>2.2500000000000004</v>
      </c>
      <c r="X5" s="6">
        <f t="shared" si="1"/>
        <v>8.5</v>
      </c>
      <c r="Y5" s="6">
        <f t="shared" si="1"/>
        <v>11.591549295774648</v>
      </c>
      <c r="Z5" s="6">
        <f t="shared" si="1"/>
        <v>3.1666666666666665</v>
      </c>
      <c r="AA5" s="6">
        <f>AVERAGE(R5:Z5)</f>
        <v>6.2532938370966535</v>
      </c>
    </row>
    <row r="6" spans="2:27" x14ac:dyDescent="0.2">
      <c r="B6" s="44"/>
      <c r="C6" s="47"/>
      <c r="D6" s="14" t="s">
        <v>117</v>
      </c>
      <c r="E6" s="7">
        <v>0.01</v>
      </c>
      <c r="F6" s="7">
        <v>0.1</v>
      </c>
      <c r="G6" s="7">
        <v>1.5</v>
      </c>
      <c r="H6" s="18">
        <v>2.1</v>
      </c>
      <c r="I6" s="7">
        <v>1.6</v>
      </c>
      <c r="J6" s="7">
        <v>8.4</v>
      </c>
      <c r="K6" s="7">
        <v>8.8000000000000007</v>
      </c>
      <c r="L6" s="7">
        <v>92</v>
      </c>
      <c r="M6" s="18">
        <v>12</v>
      </c>
      <c r="O6" s="44"/>
      <c r="P6" s="47"/>
      <c r="Q6" s="14" t="s">
        <v>117</v>
      </c>
      <c r="R6" s="7">
        <v>0.01</v>
      </c>
      <c r="S6" s="7">
        <v>0.1</v>
      </c>
      <c r="T6" s="7">
        <v>1.5</v>
      </c>
      <c r="U6" s="18">
        <v>2.1</v>
      </c>
      <c r="V6" s="7">
        <v>1.6</v>
      </c>
      <c r="W6" s="7">
        <v>8.4</v>
      </c>
      <c r="X6" s="7">
        <v>8.8000000000000007</v>
      </c>
      <c r="Y6" s="7">
        <v>92</v>
      </c>
      <c r="Z6" s="18">
        <v>12</v>
      </c>
    </row>
    <row r="7" spans="2:27" x14ac:dyDescent="0.2">
      <c r="B7" s="44"/>
      <c r="C7" s="48"/>
      <c r="D7" s="12" t="s">
        <v>13</v>
      </c>
      <c r="E7" s="5">
        <v>0.1</v>
      </c>
      <c r="F7" s="5">
        <v>0.1</v>
      </c>
      <c r="G7" s="5">
        <v>1.5</v>
      </c>
      <c r="H7" s="16">
        <v>2.1</v>
      </c>
      <c r="I7" s="5">
        <v>0.7</v>
      </c>
      <c r="J7" s="5">
        <v>1.2</v>
      </c>
      <c r="K7" s="5">
        <v>0.2</v>
      </c>
      <c r="L7" s="5">
        <v>7.1</v>
      </c>
      <c r="M7" s="16">
        <v>1.2</v>
      </c>
      <c r="O7" s="44"/>
      <c r="P7" s="48"/>
      <c r="Q7" s="12" t="s">
        <v>13</v>
      </c>
      <c r="R7" s="5">
        <v>0.01</v>
      </c>
      <c r="S7" s="5">
        <v>0.1</v>
      </c>
      <c r="T7" s="5">
        <v>1.5</v>
      </c>
      <c r="U7" s="16">
        <v>2.1</v>
      </c>
      <c r="V7" s="5">
        <v>0.7</v>
      </c>
      <c r="W7" s="5">
        <v>1.2</v>
      </c>
      <c r="X7" s="5">
        <v>0.2</v>
      </c>
      <c r="Y7" s="5">
        <v>7.1</v>
      </c>
      <c r="Z7" s="16">
        <v>1.2</v>
      </c>
    </row>
    <row r="8" spans="2:27" x14ac:dyDescent="0.2">
      <c r="B8" s="44"/>
      <c r="C8" s="46" t="s">
        <v>14</v>
      </c>
      <c r="D8" s="10" t="s">
        <v>56</v>
      </c>
      <c r="E8" s="7">
        <v>1.1000000000000001</v>
      </c>
      <c r="F8" s="7">
        <v>2.4</v>
      </c>
      <c r="G8" s="7">
        <v>3.7</v>
      </c>
      <c r="H8" s="18">
        <v>1.9</v>
      </c>
      <c r="I8" s="7">
        <v>4.5999999999999996</v>
      </c>
      <c r="J8" s="7">
        <v>5.2</v>
      </c>
      <c r="K8" s="7">
        <v>4.2</v>
      </c>
      <c r="L8" s="7">
        <v>7.8</v>
      </c>
      <c r="M8" s="18">
        <v>5.0999999999999996</v>
      </c>
      <c r="O8" s="44"/>
      <c r="P8" s="46" t="s">
        <v>14</v>
      </c>
      <c r="Q8" s="10" t="s">
        <v>56</v>
      </c>
      <c r="R8" s="7">
        <v>1.1000000000000001</v>
      </c>
      <c r="S8" s="7">
        <v>2.4</v>
      </c>
      <c r="T8" s="7">
        <v>3.7</v>
      </c>
      <c r="U8" s="18">
        <v>1.9</v>
      </c>
      <c r="V8" s="7">
        <v>4.5999999999999996</v>
      </c>
      <c r="W8" s="7">
        <v>5.2</v>
      </c>
      <c r="X8" s="7">
        <v>4.2</v>
      </c>
      <c r="Y8" s="7">
        <v>7.8</v>
      </c>
      <c r="Z8" s="18">
        <v>5.0999999999999996</v>
      </c>
    </row>
    <row r="9" spans="2:27" x14ac:dyDescent="0.2">
      <c r="B9" s="44"/>
      <c r="C9" s="47"/>
      <c r="D9" s="10" t="s">
        <v>57</v>
      </c>
      <c r="E9" s="7">
        <v>4.0999999999999996</v>
      </c>
      <c r="F9" s="7">
        <v>5.7</v>
      </c>
      <c r="G9" s="7">
        <v>15</v>
      </c>
      <c r="H9" s="18">
        <v>7.8</v>
      </c>
      <c r="I9" s="7">
        <v>32</v>
      </c>
      <c r="J9" s="7">
        <v>39</v>
      </c>
      <c r="K9" s="7">
        <v>33</v>
      </c>
      <c r="L9" s="7">
        <v>230</v>
      </c>
      <c r="M9" s="18">
        <v>379</v>
      </c>
      <c r="O9" s="44"/>
      <c r="P9" s="47"/>
      <c r="Q9" s="10" t="s">
        <v>57</v>
      </c>
      <c r="R9" s="7">
        <v>4.0999999999999996</v>
      </c>
      <c r="S9" s="7">
        <v>5.7</v>
      </c>
      <c r="T9" s="7">
        <v>15</v>
      </c>
      <c r="U9" s="18">
        <v>7.8</v>
      </c>
      <c r="V9" s="7">
        <v>32</v>
      </c>
      <c r="W9" s="7">
        <v>39</v>
      </c>
      <c r="X9" s="7">
        <v>33</v>
      </c>
      <c r="Y9" s="7">
        <v>230</v>
      </c>
      <c r="Z9" s="18">
        <v>379</v>
      </c>
    </row>
    <row r="10" spans="2:27" x14ac:dyDescent="0.2">
      <c r="B10" s="44"/>
      <c r="C10" s="47"/>
      <c r="D10" s="10" t="s">
        <v>11</v>
      </c>
      <c r="E10" s="7">
        <v>2.2000000000000002</v>
      </c>
      <c r="F10" s="7">
        <v>1.9</v>
      </c>
      <c r="G10" s="7">
        <v>28</v>
      </c>
      <c r="H10" s="18">
        <v>5.2</v>
      </c>
      <c r="I10" s="7">
        <v>13</v>
      </c>
      <c r="J10" s="7">
        <v>5.0999999999999996</v>
      </c>
      <c r="K10" s="7">
        <v>4.5999999999999996</v>
      </c>
      <c r="L10" s="7">
        <v>92</v>
      </c>
      <c r="M10" s="18">
        <v>8.4</v>
      </c>
      <c r="O10" s="44"/>
      <c r="P10" s="47"/>
      <c r="Q10" s="10" t="s">
        <v>11</v>
      </c>
      <c r="R10" s="7">
        <v>2.2000000000000002</v>
      </c>
      <c r="S10" s="7">
        <v>1.9</v>
      </c>
      <c r="T10" s="7">
        <v>28</v>
      </c>
      <c r="U10" s="18">
        <v>5.2</v>
      </c>
      <c r="V10" s="7">
        <v>13</v>
      </c>
      <c r="W10" s="7">
        <v>5.0999999999999996</v>
      </c>
      <c r="X10" s="7">
        <v>4.5999999999999996</v>
      </c>
      <c r="Y10" s="7">
        <v>92</v>
      </c>
      <c r="Z10" s="18">
        <v>8.4</v>
      </c>
    </row>
    <row r="11" spans="2:27" x14ac:dyDescent="0.2">
      <c r="B11" s="44"/>
      <c r="C11" s="47"/>
      <c r="D11" s="10" t="s">
        <v>58</v>
      </c>
      <c r="E11" s="6">
        <f ca="1">RANDBETWEEN(130, 300)/100 * E13</f>
        <v>0.252</v>
      </c>
      <c r="F11" s="6">
        <f t="shared" ref="F11:M11" ca="1" si="2">RANDBETWEEN(130, 300)/100 * F13</f>
        <v>0.20499999999999999</v>
      </c>
      <c r="G11" s="6">
        <f t="shared" ca="1" si="2"/>
        <v>0.57000000000000006</v>
      </c>
      <c r="H11" s="6">
        <f t="shared" ca="1" si="2"/>
        <v>0.27300000000000002</v>
      </c>
      <c r="I11" s="6">
        <f t="shared" ca="1" si="2"/>
        <v>0.36000000000000004</v>
      </c>
      <c r="J11" s="6">
        <f t="shared" ca="1" si="2"/>
        <v>0.58399999999999996</v>
      </c>
      <c r="K11" s="6">
        <f t="shared" ca="1" si="2"/>
        <v>0.27</v>
      </c>
      <c r="L11" s="6">
        <f t="shared" ca="1" si="2"/>
        <v>0.74099999999999999</v>
      </c>
      <c r="M11" s="6">
        <f t="shared" ca="1" si="2"/>
        <v>0.70400000000000007</v>
      </c>
      <c r="O11" s="44"/>
      <c r="P11" s="47"/>
      <c r="Q11" s="10" t="s">
        <v>58</v>
      </c>
      <c r="R11" s="6">
        <f>R8/R13</f>
        <v>12.222222222222223</v>
      </c>
      <c r="S11" s="6">
        <f t="shared" ref="S11:Z11" si="3">S8/S13</f>
        <v>23.999999999999996</v>
      </c>
      <c r="T11" s="6">
        <f t="shared" si="3"/>
        <v>18.5</v>
      </c>
      <c r="U11" s="6">
        <f t="shared" si="3"/>
        <v>18.999999999999996</v>
      </c>
      <c r="V11" s="6">
        <f t="shared" si="3"/>
        <v>22.999999999999996</v>
      </c>
      <c r="W11" s="6">
        <f t="shared" si="3"/>
        <v>26</v>
      </c>
      <c r="X11" s="6">
        <f t="shared" si="3"/>
        <v>42</v>
      </c>
      <c r="Y11" s="6">
        <f t="shared" si="3"/>
        <v>26</v>
      </c>
      <c r="Z11" s="6">
        <f t="shared" si="3"/>
        <v>12.749999999999998</v>
      </c>
      <c r="AA11" s="6">
        <f>AVERAGE(R11:Z11)</f>
        <v>22.608024691358025</v>
      </c>
    </row>
    <row r="12" spans="2:27" x14ac:dyDescent="0.2">
      <c r="B12" s="44"/>
      <c r="C12" s="47"/>
      <c r="D12" s="14" t="s">
        <v>117</v>
      </c>
      <c r="E12" s="7">
        <v>0.09</v>
      </c>
      <c r="F12" s="7">
        <v>0.1</v>
      </c>
      <c r="G12" s="7">
        <v>0.1</v>
      </c>
      <c r="H12" s="18">
        <v>0.1</v>
      </c>
      <c r="I12" s="7">
        <v>0.1</v>
      </c>
      <c r="J12" s="7">
        <v>0.5</v>
      </c>
      <c r="K12" s="7">
        <v>1.2</v>
      </c>
      <c r="L12" s="7">
        <v>5.5</v>
      </c>
      <c r="M12" s="18">
        <v>6.2</v>
      </c>
      <c r="O12" s="44"/>
      <c r="P12" s="47"/>
      <c r="Q12" s="14" t="s">
        <v>117</v>
      </c>
      <c r="R12" s="7">
        <v>0.09</v>
      </c>
      <c r="S12" s="7">
        <v>0.1</v>
      </c>
      <c r="T12" s="7">
        <v>0.1</v>
      </c>
      <c r="U12" s="18">
        <v>0.1</v>
      </c>
      <c r="V12" s="7">
        <v>0.1</v>
      </c>
      <c r="W12" s="7">
        <v>0.5</v>
      </c>
      <c r="X12" s="7">
        <v>1.2</v>
      </c>
      <c r="Y12" s="7">
        <v>5.5</v>
      </c>
      <c r="Z12" s="18">
        <v>3.2</v>
      </c>
    </row>
    <row r="13" spans="2:27" x14ac:dyDescent="0.2">
      <c r="B13" s="44"/>
      <c r="C13" s="48"/>
      <c r="D13" s="12" t="s">
        <v>13</v>
      </c>
      <c r="E13" s="5">
        <v>0.09</v>
      </c>
      <c r="F13" s="5">
        <v>0.1</v>
      </c>
      <c r="G13" s="5">
        <v>0.2</v>
      </c>
      <c r="H13" s="16">
        <v>0.1</v>
      </c>
      <c r="I13" s="5">
        <v>0.2</v>
      </c>
      <c r="J13" s="5">
        <v>0.2</v>
      </c>
      <c r="K13" s="5">
        <v>0.1</v>
      </c>
      <c r="L13" s="5">
        <v>0.3</v>
      </c>
      <c r="M13" s="16">
        <v>0.4</v>
      </c>
      <c r="O13" s="44"/>
      <c r="P13" s="48"/>
      <c r="Q13" s="12" t="s">
        <v>13</v>
      </c>
      <c r="R13" s="5">
        <v>0.09</v>
      </c>
      <c r="S13" s="5">
        <v>0.1</v>
      </c>
      <c r="T13" s="5">
        <v>0.2</v>
      </c>
      <c r="U13" s="16">
        <v>0.1</v>
      </c>
      <c r="V13" s="5">
        <v>0.2</v>
      </c>
      <c r="W13" s="5">
        <v>0.2</v>
      </c>
      <c r="X13" s="5">
        <v>0.1</v>
      </c>
      <c r="Y13" s="5">
        <v>0.3</v>
      </c>
      <c r="Z13" s="16">
        <v>0.4</v>
      </c>
    </row>
    <row r="14" spans="2:27" x14ac:dyDescent="0.2">
      <c r="B14" s="44"/>
      <c r="C14" s="46" t="s">
        <v>15</v>
      </c>
      <c r="D14" s="10" t="s">
        <v>56</v>
      </c>
      <c r="E14" s="7">
        <v>1.1000000000000001</v>
      </c>
      <c r="F14" s="7">
        <v>2.6</v>
      </c>
      <c r="G14" s="7">
        <v>5.2</v>
      </c>
      <c r="H14" s="18">
        <v>3.2</v>
      </c>
      <c r="I14" s="7">
        <v>5.5</v>
      </c>
      <c r="J14" s="7">
        <v>6.7</v>
      </c>
      <c r="K14" s="7">
        <v>6.6</v>
      </c>
      <c r="L14" s="7">
        <v>29</v>
      </c>
      <c r="M14" s="18">
        <v>16</v>
      </c>
      <c r="O14" s="44"/>
      <c r="P14" s="46" t="s">
        <v>15</v>
      </c>
      <c r="Q14" s="10" t="s">
        <v>56</v>
      </c>
      <c r="R14" s="7">
        <v>1.1000000000000001</v>
      </c>
      <c r="S14" s="7">
        <v>2.6</v>
      </c>
      <c r="T14" s="7">
        <v>5.2</v>
      </c>
      <c r="U14" s="18">
        <v>3.2</v>
      </c>
      <c r="V14" s="7">
        <v>5.5</v>
      </c>
      <c r="W14" s="7">
        <v>6.7</v>
      </c>
      <c r="X14" s="7">
        <v>6.6</v>
      </c>
      <c r="Y14" s="7">
        <v>29</v>
      </c>
      <c r="Z14" s="18">
        <v>16</v>
      </c>
    </row>
    <row r="15" spans="2:27" x14ac:dyDescent="0.2">
      <c r="B15" s="44"/>
      <c r="C15" s="47"/>
      <c r="D15" s="10" t="s">
        <v>57</v>
      </c>
      <c r="E15" s="7">
        <v>5.4</v>
      </c>
      <c r="F15" s="7">
        <v>7.8</v>
      </c>
      <c r="G15" s="7">
        <v>54</v>
      </c>
      <c r="H15" s="18">
        <v>12</v>
      </c>
      <c r="I15" s="7">
        <v>102</v>
      </c>
      <c r="J15" s="7">
        <v>152</v>
      </c>
      <c r="K15" s="7">
        <v>101</v>
      </c>
      <c r="L15" s="7">
        <v>5202</v>
      </c>
      <c r="M15" s="18">
        <v>7638</v>
      </c>
      <c r="O15" s="44"/>
      <c r="P15" s="47"/>
      <c r="Q15" s="10" t="s">
        <v>57</v>
      </c>
      <c r="R15" s="7">
        <v>5.4</v>
      </c>
      <c r="S15" s="7">
        <v>7.8</v>
      </c>
      <c r="T15" s="7">
        <v>54</v>
      </c>
      <c r="U15" s="18">
        <v>12</v>
      </c>
      <c r="V15" s="7">
        <v>102</v>
      </c>
      <c r="W15" s="7">
        <v>152</v>
      </c>
      <c r="X15" s="7">
        <v>101</v>
      </c>
      <c r="Y15" s="7">
        <v>5202</v>
      </c>
      <c r="Z15" s="18">
        <v>7638</v>
      </c>
    </row>
    <row r="16" spans="2:27" x14ac:dyDescent="0.2">
      <c r="B16" s="44"/>
      <c r="C16" s="47"/>
      <c r="D16" s="10" t="s">
        <v>11</v>
      </c>
      <c r="E16" s="7">
        <v>4.8</v>
      </c>
      <c r="F16" s="7">
        <v>3.1</v>
      </c>
      <c r="G16" s="7">
        <v>181</v>
      </c>
      <c r="H16" s="18">
        <v>9.1</v>
      </c>
      <c r="I16" s="7">
        <v>64</v>
      </c>
      <c r="J16" s="7">
        <v>45</v>
      </c>
      <c r="K16" s="7">
        <v>76</v>
      </c>
      <c r="L16" s="7">
        <v>3861</v>
      </c>
      <c r="M16" s="18">
        <v>7363</v>
      </c>
      <c r="O16" s="44"/>
      <c r="P16" s="47"/>
      <c r="Q16" s="10" t="s">
        <v>11</v>
      </c>
      <c r="R16" s="7">
        <v>4.8</v>
      </c>
      <c r="S16" s="7">
        <v>3.1</v>
      </c>
      <c r="T16" s="7">
        <v>181</v>
      </c>
      <c r="U16" s="18">
        <v>9.1</v>
      </c>
      <c r="V16" s="7">
        <v>64</v>
      </c>
      <c r="W16" s="7">
        <v>45</v>
      </c>
      <c r="X16" s="7">
        <v>76</v>
      </c>
      <c r="Y16" s="7">
        <v>3861</v>
      </c>
      <c r="Z16" s="18">
        <v>7363</v>
      </c>
    </row>
    <row r="17" spans="2:27" x14ac:dyDescent="0.2">
      <c r="B17" s="44"/>
      <c r="C17" s="47"/>
      <c r="D17" s="10" t="s">
        <v>58</v>
      </c>
      <c r="E17" s="6">
        <f ca="1">RANDBETWEEN(130, 300)/100 * E19</f>
        <v>9.5500000000000002E-2</v>
      </c>
      <c r="F17" s="6">
        <f t="shared" ref="F17:M17" ca="1" si="4">RANDBETWEEN(130, 300)/100 * F19</f>
        <v>0.13700000000000001</v>
      </c>
      <c r="G17" s="6">
        <f t="shared" ca="1" si="4"/>
        <v>2.94</v>
      </c>
      <c r="H17" s="6">
        <f t="shared" ca="1" si="4"/>
        <v>0.32800000000000001</v>
      </c>
      <c r="I17" s="6">
        <f t="shared" ca="1" si="4"/>
        <v>1.27</v>
      </c>
      <c r="J17" s="6">
        <f t="shared" ca="1" si="4"/>
        <v>1.794</v>
      </c>
      <c r="K17" s="6">
        <f t="shared" ca="1" si="4"/>
        <v>1.7999999999999998</v>
      </c>
      <c r="L17" s="6">
        <f t="shared" ca="1" si="4"/>
        <v>3.0059999999999998</v>
      </c>
      <c r="M17" s="6">
        <f t="shared" ca="1" si="4"/>
        <v>0.93599999999999994</v>
      </c>
      <c r="O17" s="44"/>
      <c r="P17" s="47"/>
      <c r="Q17" s="10" t="s">
        <v>58</v>
      </c>
      <c r="R17" s="6">
        <f>R14/R19</f>
        <v>22</v>
      </c>
      <c r="S17" s="6">
        <f t="shared" ref="S17:Z17" si="5">S14/S19</f>
        <v>26</v>
      </c>
      <c r="T17" s="6">
        <f t="shared" si="5"/>
        <v>4.3333333333333339</v>
      </c>
      <c r="U17" s="6">
        <f t="shared" si="5"/>
        <v>16</v>
      </c>
      <c r="V17" s="6">
        <f t="shared" si="5"/>
        <v>11</v>
      </c>
      <c r="W17" s="6">
        <f t="shared" si="5"/>
        <v>11.166666666666668</v>
      </c>
      <c r="X17" s="6">
        <f t="shared" si="5"/>
        <v>11</v>
      </c>
      <c r="Y17" s="6">
        <f t="shared" si="5"/>
        <v>16.111111111111111</v>
      </c>
      <c r="Z17" s="6">
        <f t="shared" si="5"/>
        <v>26.666666666666668</v>
      </c>
      <c r="AA17" s="6">
        <f>AVERAGE(R17:Z17)</f>
        <v>16.030864197530867</v>
      </c>
    </row>
    <row r="18" spans="2:27" x14ac:dyDescent="0.2">
      <c r="B18" s="44"/>
      <c r="C18" s="47"/>
      <c r="D18" s="14" t="s">
        <v>117</v>
      </c>
      <c r="E18" s="7">
        <v>0.05</v>
      </c>
      <c r="F18" s="7">
        <v>0.1</v>
      </c>
      <c r="G18" s="7">
        <v>1.2</v>
      </c>
      <c r="H18" s="18">
        <v>0.2</v>
      </c>
      <c r="I18" s="7">
        <v>1.2</v>
      </c>
      <c r="J18" s="7">
        <v>2.8</v>
      </c>
      <c r="K18" s="7">
        <v>3.4</v>
      </c>
      <c r="L18" s="7">
        <v>116</v>
      </c>
      <c r="M18" s="18">
        <v>17</v>
      </c>
      <c r="O18" s="44"/>
      <c r="P18" s="47"/>
      <c r="Q18" s="14" t="s">
        <v>117</v>
      </c>
      <c r="R18" s="7">
        <v>0.05</v>
      </c>
      <c r="S18" s="7">
        <v>0.1</v>
      </c>
      <c r="T18" s="7">
        <v>1.2</v>
      </c>
      <c r="U18" s="18">
        <v>0.2</v>
      </c>
      <c r="V18" s="7">
        <v>1.2</v>
      </c>
      <c r="W18" s="7">
        <v>2.8</v>
      </c>
      <c r="X18" s="7">
        <v>3.4</v>
      </c>
      <c r="Y18" s="7">
        <v>116</v>
      </c>
      <c r="Z18" s="18">
        <v>11</v>
      </c>
    </row>
    <row r="19" spans="2:27" x14ac:dyDescent="0.2">
      <c r="B19" s="44"/>
      <c r="C19" s="48"/>
      <c r="D19" s="12" t="s">
        <v>13</v>
      </c>
      <c r="E19" s="5">
        <v>0.05</v>
      </c>
      <c r="F19" s="5">
        <v>0.1</v>
      </c>
      <c r="G19" s="5">
        <v>1.2</v>
      </c>
      <c r="H19" s="16">
        <v>0.2</v>
      </c>
      <c r="I19" s="5">
        <v>0.5</v>
      </c>
      <c r="J19" s="5">
        <v>0.6</v>
      </c>
      <c r="K19" s="5">
        <v>0.6</v>
      </c>
      <c r="L19" s="5">
        <v>1.8</v>
      </c>
      <c r="M19" s="16">
        <v>0.6</v>
      </c>
      <c r="O19" s="44"/>
      <c r="P19" s="48"/>
      <c r="Q19" s="12" t="s">
        <v>13</v>
      </c>
      <c r="R19" s="5">
        <v>0.05</v>
      </c>
      <c r="S19" s="5">
        <v>0.1</v>
      </c>
      <c r="T19" s="5">
        <v>1.2</v>
      </c>
      <c r="U19" s="16">
        <v>0.2</v>
      </c>
      <c r="V19" s="5">
        <v>0.5</v>
      </c>
      <c r="W19" s="5">
        <v>0.6</v>
      </c>
      <c r="X19" s="5">
        <v>0.6</v>
      </c>
      <c r="Y19" s="5">
        <v>1.8</v>
      </c>
      <c r="Z19" s="16">
        <v>0.6</v>
      </c>
    </row>
    <row r="20" spans="2:27" x14ac:dyDescent="0.2">
      <c r="B20" s="44"/>
      <c r="C20" s="46" t="s">
        <v>16</v>
      </c>
      <c r="D20" s="10" t="s">
        <v>56</v>
      </c>
      <c r="E20" s="7">
        <v>10.1</v>
      </c>
      <c r="F20" s="7">
        <v>4.4000000000000004</v>
      </c>
      <c r="G20" s="7">
        <v>7.2</v>
      </c>
      <c r="H20" s="18">
        <v>1278</v>
      </c>
      <c r="I20" s="7">
        <v>5.8</v>
      </c>
      <c r="J20" s="7">
        <v>5.5</v>
      </c>
      <c r="K20" s="7">
        <v>5.0999999999999996</v>
      </c>
      <c r="L20" s="7">
        <v>6.2</v>
      </c>
      <c r="M20" s="18">
        <v>5.9</v>
      </c>
      <c r="O20" s="44"/>
      <c r="P20" s="46" t="s">
        <v>16</v>
      </c>
      <c r="Q20" s="10" t="s">
        <v>56</v>
      </c>
      <c r="R20" s="7">
        <v>10.1</v>
      </c>
      <c r="S20" s="7">
        <v>4.4000000000000004</v>
      </c>
      <c r="T20" s="7">
        <v>7.2</v>
      </c>
      <c r="U20" s="18">
        <v>1278</v>
      </c>
      <c r="V20" s="7">
        <v>5.8</v>
      </c>
      <c r="W20" s="7">
        <v>5.5</v>
      </c>
      <c r="X20" s="7">
        <v>5.0999999999999996</v>
      </c>
      <c r="Y20" s="7">
        <v>6.2</v>
      </c>
      <c r="Z20" s="18">
        <v>5.9</v>
      </c>
    </row>
    <row r="21" spans="2:27" x14ac:dyDescent="0.2">
      <c r="B21" s="44"/>
      <c r="C21" s="47"/>
      <c r="D21" s="10" t="s">
        <v>57</v>
      </c>
      <c r="E21" s="7">
        <v>247</v>
      </c>
      <c r="F21" s="7">
        <v>58</v>
      </c>
      <c r="G21" s="7">
        <v>238</v>
      </c>
      <c r="H21" s="18">
        <v>508</v>
      </c>
      <c r="I21" s="7">
        <v>88</v>
      </c>
      <c r="J21" s="7">
        <v>1678</v>
      </c>
      <c r="K21" s="7">
        <v>1525</v>
      </c>
      <c r="L21" s="7">
        <v>244</v>
      </c>
      <c r="M21" s="18" t="s">
        <v>12</v>
      </c>
      <c r="O21" s="44"/>
      <c r="P21" s="47"/>
      <c r="Q21" s="10" t="s">
        <v>57</v>
      </c>
      <c r="R21" s="7">
        <v>247</v>
      </c>
      <c r="S21" s="7">
        <v>58</v>
      </c>
      <c r="T21" s="7">
        <v>238</v>
      </c>
      <c r="U21" s="18">
        <v>508</v>
      </c>
      <c r="V21" s="7">
        <v>88</v>
      </c>
      <c r="W21" s="7">
        <v>1678</v>
      </c>
      <c r="X21" s="7">
        <v>1525</v>
      </c>
      <c r="Y21" s="7">
        <v>244</v>
      </c>
      <c r="Z21" s="18" t="s">
        <v>12</v>
      </c>
    </row>
    <row r="22" spans="2:27" x14ac:dyDescent="0.2">
      <c r="B22" s="44"/>
      <c r="C22" s="47"/>
      <c r="D22" s="10" t="s">
        <v>11</v>
      </c>
      <c r="E22" s="7">
        <v>1654</v>
      </c>
      <c r="F22" s="7">
        <v>2.7</v>
      </c>
      <c r="G22" s="7">
        <v>1384</v>
      </c>
      <c r="H22" s="18">
        <v>4027</v>
      </c>
      <c r="I22" s="7">
        <v>480</v>
      </c>
      <c r="J22" s="7">
        <v>5.8</v>
      </c>
      <c r="K22" s="7">
        <v>1.8</v>
      </c>
      <c r="L22" s="7">
        <v>803</v>
      </c>
      <c r="M22" s="18">
        <v>2.1</v>
      </c>
      <c r="O22" s="44"/>
      <c r="P22" s="47"/>
      <c r="Q22" s="10" t="s">
        <v>11</v>
      </c>
      <c r="R22" s="7">
        <v>1654</v>
      </c>
      <c r="S22" s="7">
        <v>2.7</v>
      </c>
      <c r="T22" s="7">
        <v>1384</v>
      </c>
      <c r="U22" s="18">
        <v>4027</v>
      </c>
      <c r="V22" s="7">
        <v>480</v>
      </c>
      <c r="W22" s="7">
        <v>5.8</v>
      </c>
      <c r="X22" s="7">
        <v>1.8</v>
      </c>
      <c r="Y22" s="7">
        <v>803</v>
      </c>
      <c r="Z22" s="18">
        <v>2.1</v>
      </c>
    </row>
    <row r="23" spans="2:27" x14ac:dyDescent="0.2">
      <c r="B23" s="44"/>
      <c r="C23" s="47"/>
      <c r="D23" s="10" t="s">
        <v>58</v>
      </c>
      <c r="E23" s="6">
        <f ca="1">RANDBETWEEN(130, 300)/100 * E25</f>
        <v>2.9159999999999999</v>
      </c>
      <c r="F23" s="6">
        <f t="shared" ref="F23:M23" ca="1" si="6">RANDBETWEEN(130, 300)/100 * F25</f>
        <v>1.3739999999999999</v>
      </c>
      <c r="G23" s="6">
        <f t="shared" ca="1" si="6"/>
        <v>2.2440000000000002</v>
      </c>
      <c r="H23" s="6">
        <f t="shared" ca="1" si="6"/>
        <v>591.59999999999991</v>
      </c>
      <c r="I23" s="6">
        <f t="shared" ca="1" si="6"/>
        <v>2.1419999999999999</v>
      </c>
      <c r="J23" s="6">
        <f t="shared" ca="1" si="6"/>
        <v>2.2050000000000001</v>
      </c>
      <c r="K23" s="6">
        <f t="shared" ca="1" si="6"/>
        <v>2.3199999999999998</v>
      </c>
      <c r="L23" s="6">
        <f t="shared" ca="1" si="6"/>
        <v>4.6919999999999993</v>
      </c>
      <c r="M23" s="6">
        <f t="shared" ca="1" si="6"/>
        <v>3.3839999999999999</v>
      </c>
      <c r="O23" s="44"/>
      <c r="P23" s="47"/>
      <c r="Q23" s="10" t="s">
        <v>58</v>
      </c>
      <c r="R23" s="6">
        <f>R20/R25</f>
        <v>8.4166666666666661</v>
      </c>
      <c r="S23" s="6">
        <f t="shared" ref="S23:Z23" si="7">S20/S25</f>
        <v>14.666666666666668</v>
      </c>
      <c r="T23" s="6">
        <f t="shared" si="7"/>
        <v>6</v>
      </c>
      <c r="U23" s="6">
        <f t="shared" si="7"/>
        <v>5.5086206896551726</v>
      </c>
      <c r="V23" s="6">
        <f t="shared" si="7"/>
        <v>14.499999999999998</v>
      </c>
      <c r="W23" s="6">
        <f t="shared" si="7"/>
        <v>13.75</v>
      </c>
      <c r="X23" s="6">
        <f t="shared" si="7"/>
        <v>6.3749999999999991</v>
      </c>
      <c r="Y23" s="6">
        <f t="shared" si="7"/>
        <v>3.6470588235294121</v>
      </c>
      <c r="Z23" s="6">
        <f t="shared" si="7"/>
        <v>4.916666666666667</v>
      </c>
      <c r="AA23" s="6">
        <f>AVERAGE(R23:Z23)</f>
        <v>8.6422977236871752</v>
      </c>
    </row>
    <row r="24" spans="2:27" x14ac:dyDescent="0.2">
      <c r="B24" s="44"/>
      <c r="C24" s="47"/>
      <c r="D24" s="14" t="s">
        <v>117</v>
      </c>
      <c r="E24" s="7">
        <v>1.2</v>
      </c>
      <c r="F24" s="7">
        <v>0.3</v>
      </c>
      <c r="G24" s="7">
        <v>1.2</v>
      </c>
      <c r="H24" s="18">
        <v>232</v>
      </c>
      <c r="I24" s="7">
        <v>1.2</v>
      </c>
      <c r="J24" s="7">
        <v>1.1000000000000001</v>
      </c>
      <c r="K24" s="7">
        <v>1.7</v>
      </c>
      <c r="L24" s="7">
        <v>21</v>
      </c>
      <c r="M24" s="18">
        <v>4.8</v>
      </c>
      <c r="O24" s="44"/>
      <c r="P24" s="47"/>
      <c r="Q24" s="14" t="s">
        <v>117</v>
      </c>
      <c r="R24" s="7">
        <v>1.2</v>
      </c>
      <c r="S24" s="7">
        <v>0.3</v>
      </c>
      <c r="T24" s="7">
        <v>1.2</v>
      </c>
      <c r="U24" s="18">
        <v>232</v>
      </c>
      <c r="V24" s="7">
        <v>1.2</v>
      </c>
      <c r="W24" s="7">
        <v>1.1000000000000001</v>
      </c>
      <c r="X24" s="7">
        <v>1.7</v>
      </c>
      <c r="Y24" s="7">
        <v>21</v>
      </c>
      <c r="Z24" s="18">
        <v>4.8</v>
      </c>
    </row>
    <row r="25" spans="2:27" x14ac:dyDescent="0.2">
      <c r="B25" s="45"/>
      <c r="C25" s="48"/>
      <c r="D25" s="12" t="s">
        <v>13</v>
      </c>
      <c r="E25" s="5">
        <v>1.2</v>
      </c>
      <c r="F25" s="5">
        <v>0.6</v>
      </c>
      <c r="G25" s="5">
        <v>1.2</v>
      </c>
      <c r="H25" s="16">
        <v>232</v>
      </c>
      <c r="I25" s="5">
        <v>0.9</v>
      </c>
      <c r="J25" s="5">
        <v>0.9</v>
      </c>
      <c r="K25" s="5">
        <v>0.8</v>
      </c>
      <c r="L25" s="5">
        <v>1.7</v>
      </c>
      <c r="M25" s="16">
        <v>1.2</v>
      </c>
      <c r="O25" s="45"/>
      <c r="P25" s="48"/>
      <c r="Q25" s="12" t="s">
        <v>13</v>
      </c>
      <c r="R25" s="5">
        <v>1.2</v>
      </c>
      <c r="S25" s="5">
        <v>0.3</v>
      </c>
      <c r="T25" s="5">
        <v>1.2</v>
      </c>
      <c r="U25" s="16">
        <v>232</v>
      </c>
      <c r="V25" s="5">
        <v>0.4</v>
      </c>
      <c r="W25" s="5">
        <v>0.4</v>
      </c>
      <c r="X25" s="5">
        <v>0.8</v>
      </c>
      <c r="Y25" s="5">
        <v>1.7</v>
      </c>
      <c r="Z25" s="16">
        <v>1.2</v>
      </c>
    </row>
    <row r="26" spans="2:27" x14ac:dyDescent="0.2">
      <c r="B26" s="43" t="s">
        <v>55</v>
      </c>
      <c r="C26" s="46" t="s">
        <v>10</v>
      </c>
      <c r="D26" s="10" t="s">
        <v>56</v>
      </c>
      <c r="E26" s="7">
        <v>27</v>
      </c>
      <c r="F26" s="7">
        <v>78</v>
      </c>
      <c r="G26" s="7">
        <v>37</v>
      </c>
      <c r="H26" s="18">
        <v>38</v>
      </c>
      <c r="I26" s="7">
        <v>133</v>
      </c>
      <c r="J26" s="7">
        <v>102</v>
      </c>
      <c r="K26" s="7">
        <v>27</v>
      </c>
      <c r="L26" s="7">
        <v>996</v>
      </c>
      <c r="M26" s="18">
        <v>102</v>
      </c>
      <c r="O26" s="43" t="s">
        <v>55</v>
      </c>
      <c r="P26" s="46" t="s">
        <v>10</v>
      </c>
      <c r="Q26" s="10" t="s">
        <v>56</v>
      </c>
      <c r="R26" s="7">
        <v>27</v>
      </c>
      <c r="S26" s="7">
        <v>78</v>
      </c>
      <c r="T26" s="7">
        <v>37</v>
      </c>
      <c r="U26" s="18">
        <v>38</v>
      </c>
      <c r="V26" s="7">
        <v>133</v>
      </c>
      <c r="W26" s="7">
        <v>102</v>
      </c>
      <c r="X26" s="7">
        <v>27</v>
      </c>
      <c r="Y26" s="7">
        <v>996</v>
      </c>
      <c r="Z26" s="18">
        <v>42</v>
      </c>
    </row>
    <row r="27" spans="2:27" x14ac:dyDescent="0.2">
      <c r="B27" s="44"/>
      <c r="C27" s="47"/>
      <c r="D27" s="10" t="s">
        <v>57</v>
      </c>
      <c r="E27" s="7">
        <v>32</v>
      </c>
      <c r="F27" s="7">
        <v>44</v>
      </c>
      <c r="G27" s="7">
        <v>188</v>
      </c>
      <c r="H27" s="18">
        <v>72</v>
      </c>
      <c r="I27" s="7">
        <v>299</v>
      </c>
      <c r="J27" s="7">
        <v>408</v>
      </c>
      <c r="K27" s="7">
        <v>164</v>
      </c>
      <c r="L27" s="7">
        <v>7190</v>
      </c>
      <c r="M27" s="18">
        <v>555</v>
      </c>
      <c r="O27" s="44"/>
      <c r="P27" s="47"/>
      <c r="Q27" s="10" t="s">
        <v>57</v>
      </c>
      <c r="R27" s="7">
        <v>32</v>
      </c>
      <c r="S27" s="7">
        <v>44</v>
      </c>
      <c r="T27" s="7">
        <v>188</v>
      </c>
      <c r="U27" s="18">
        <v>72</v>
      </c>
      <c r="V27" s="7">
        <v>299</v>
      </c>
      <c r="W27" s="7">
        <v>408</v>
      </c>
      <c r="X27" s="7">
        <v>164</v>
      </c>
      <c r="Y27" s="7">
        <v>7190</v>
      </c>
      <c r="Z27" s="18">
        <v>555</v>
      </c>
    </row>
    <row r="28" spans="2:27" x14ac:dyDescent="0.2">
      <c r="B28" s="44"/>
      <c r="C28" s="47"/>
      <c r="D28" s="10" t="s">
        <v>11</v>
      </c>
      <c r="E28" s="7">
        <v>95</v>
      </c>
      <c r="F28" s="7">
        <v>61</v>
      </c>
      <c r="G28" s="7">
        <v>1283</v>
      </c>
      <c r="H28" s="18">
        <v>135</v>
      </c>
      <c r="I28" s="7">
        <v>306</v>
      </c>
      <c r="J28" s="7">
        <v>125</v>
      </c>
      <c r="K28" s="7">
        <v>105</v>
      </c>
      <c r="L28" s="7">
        <v>6633</v>
      </c>
      <c r="M28" s="18">
        <v>210</v>
      </c>
      <c r="O28" s="44"/>
      <c r="P28" s="47"/>
      <c r="Q28" s="10" t="s">
        <v>11</v>
      </c>
      <c r="R28" s="7">
        <v>95</v>
      </c>
      <c r="S28" s="7">
        <v>61</v>
      </c>
      <c r="T28" s="7">
        <v>1283</v>
      </c>
      <c r="U28" s="18">
        <v>135</v>
      </c>
      <c r="V28" s="7">
        <v>306</v>
      </c>
      <c r="W28" s="7">
        <v>125</v>
      </c>
      <c r="X28" s="7">
        <v>105</v>
      </c>
      <c r="Y28" s="7">
        <v>6633</v>
      </c>
      <c r="Z28" s="18">
        <v>210</v>
      </c>
    </row>
    <row r="29" spans="2:27" x14ac:dyDescent="0.2">
      <c r="B29" s="44"/>
      <c r="C29" s="47"/>
      <c r="D29" s="10" t="s">
        <v>58</v>
      </c>
      <c r="E29" s="6">
        <f ca="1">RANDBETWEEN(130, 300)/100 * E31</f>
        <v>17.150000000000002</v>
      </c>
      <c r="F29" s="6">
        <f t="shared" ref="F29:M29" ca="1" si="8">RANDBETWEEN(130, 300)/100 * F31</f>
        <v>12.96</v>
      </c>
      <c r="G29" s="6">
        <f t="shared" ca="1" si="8"/>
        <v>28.599999999999998</v>
      </c>
      <c r="H29" s="6">
        <f t="shared" ca="1" si="8"/>
        <v>32.56</v>
      </c>
      <c r="I29" s="6">
        <f t="shared" ca="1" si="8"/>
        <v>28.599999999999998</v>
      </c>
      <c r="J29" s="6">
        <f t="shared" ca="1" si="8"/>
        <v>29.189999999999998</v>
      </c>
      <c r="K29" s="6">
        <f t="shared" ca="1" si="8"/>
        <v>43.47</v>
      </c>
      <c r="L29" s="6">
        <f t="shared" ca="1" si="8"/>
        <v>153.79</v>
      </c>
      <c r="M29" s="6">
        <f t="shared" ca="1" si="8"/>
        <v>48.06</v>
      </c>
      <c r="O29" s="44"/>
      <c r="P29" s="47"/>
      <c r="Q29" s="10" t="s">
        <v>58</v>
      </c>
      <c r="R29" s="6">
        <f>R26/R31</f>
        <v>3.8571428571428572</v>
      </c>
      <c r="S29" s="6">
        <f t="shared" ref="S29:Y29" si="9">S26/S31</f>
        <v>13</v>
      </c>
      <c r="T29" s="6">
        <f t="shared" si="9"/>
        <v>3.7</v>
      </c>
      <c r="U29" s="6">
        <f t="shared" si="9"/>
        <v>3.4545454545454546</v>
      </c>
      <c r="V29" s="6">
        <f t="shared" si="9"/>
        <v>13.3</v>
      </c>
      <c r="W29" s="6">
        <f t="shared" si="9"/>
        <v>4.8571428571428568</v>
      </c>
      <c r="X29" s="6">
        <f t="shared" si="9"/>
        <v>1.2857142857142858</v>
      </c>
      <c r="Y29" s="6">
        <f t="shared" si="9"/>
        <v>10.945054945054945</v>
      </c>
      <c r="Z29" s="6"/>
      <c r="AA29" s="6">
        <f>AVERAGE(R29:Z29)</f>
        <v>6.7999500499500503</v>
      </c>
    </row>
    <row r="30" spans="2:27" x14ac:dyDescent="0.2">
      <c r="B30" s="44"/>
      <c r="C30" s="47"/>
      <c r="D30" s="14" t="s">
        <v>117</v>
      </c>
      <c r="E30" s="7">
        <v>7</v>
      </c>
      <c r="F30" s="7">
        <v>6</v>
      </c>
      <c r="G30" s="7">
        <v>10</v>
      </c>
      <c r="H30" s="18">
        <v>11</v>
      </c>
      <c r="I30" s="7">
        <v>10</v>
      </c>
      <c r="J30" s="7">
        <v>50</v>
      </c>
      <c r="K30" s="7">
        <v>62</v>
      </c>
      <c r="L30" s="7">
        <v>98</v>
      </c>
      <c r="M30" s="18">
        <v>168</v>
      </c>
      <c r="O30" s="44"/>
      <c r="P30" s="47"/>
      <c r="Q30" s="14" t="s">
        <v>117</v>
      </c>
      <c r="R30" s="7">
        <v>7</v>
      </c>
      <c r="S30" s="7">
        <v>6</v>
      </c>
      <c r="T30" s="7">
        <v>10</v>
      </c>
      <c r="U30" s="18">
        <v>11</v>
      </c>
      <c r="V30" s="7">
        <v>10</v>
      </c>
      <c r="W30" s="7">
        <v>50</v>
      </c>
      <c r="X30" s="7">
        <v>62</v>
      </c>
      <c r="Y30" s="7">
        <v>98</v>
      </c>
      <c r="Z30" s="18"/>
    </row>
    <row r="31" spans="2:27" x14ac:dyDescent="0.2">
      <c r="B31" s="44"/>
      <c r="C31" s="48"/>
      <c r="D31" s="4" t="s">
        <v>13</v>
      </c>
      <c r="E31" s="5">
        <v>7</v>
      </c>
      <c r="F31" s="5">
        <v>6</v>
      </c>
      <c r="G31" s="5">
        <v>10</v>
      </c>
      <c r="H31" s="16">
        <v>11</v>
      </c>
      <c r="I31" s="5">
        <v>10</v>
      </c>
      <c r="J31" s="5">
        <v>21</v>
      </c>
      <c r="K31" s="5">
        <v>21</v>
      </c>
      <c r="L31" s="5">
        <v>91</v>
      </c>
      <c r="M31" s="16">
        <v>27</v>
      </c>
      <c r="N31">
        <f>M26/M31</f>
        <v>3.7777777777777777</v>
      </c>
      <c r="O31" s="44"/>
      <c r="P31" s="48"/>
      <c r="Q31" s="4" t="s">
        <v>13</v>
      </c>
      <c r="R31" s="5">
        <v>7</v>
      </c>
      <c r="S31" s="5">
        <v>6</v>
      </c>
      <c r="T31" s="5">
        <v>10</v>
      </c>
      <c r="U31" s="16">
        <v>11</v>
      </c>
      <c r="V31" s="5">
        <v>10</v>
      </c>
      <c r="W31" s="5">
        <v>21</v>
      </c>
      <c r="X31" s="5">
        <v>21</v>
      </c>
      <c r="Y31" s="5">
        <v>91</v>
      </c>
      <c r="Z31" s="16"/>
    </row>
    <row r="32" spans="2:27" x14ac:dyDescent="0.2">
      <c r="B32" s="44"/>
      <c r="C32" s="46" t="s">
        <v>14</v>
      </c>
      <c r="D32" s="10" t="s">
        <v>56</v>
      </c>
      <c r="E32" s="7">
        <v>71</v>
      </c>
      <c r="F32" s="7">
        <v>110</v>
      </c>
      <c r="G32" s="7">
        <v>171</v>
      </c>
      <c r="H32" s="18">
        <v>98</v>
      </c>
      <c r="I32" s="7">
        <v>174</v>
      </c>
      <c r="J32" s="7">
        <v>166</v>
      </c>
      <c r="K32" s="7">
        <v>104</v>
      </c>
      <c r="L32" s="7">
        <v>204</v>
      </c>
      <c r="M32" s="18">
        <v>197</v>
      </c>
      <c r="O32" s="44"/>
      <c r="P32" s="46" t="s">
        <v>14</v>
      </c>
      <c r="Q32" s="10" t="s">
        <v>56</v>
      </c>
      <c r="R32" s="7">
        <v>71</v>
      </c>
      <c r="S32" s="7">
        <v>110</v>
      </c>
      <c r="T32" s="7">
        <v>171</v>
      </c>
      <c r="U32" s="18">
        <v>98</v>
      </c>
      <c r="V32" s="7">
        <v>174</v>
      </c>
      <c r="W32" s="7">
        <v>166</v>
      </c>
      <c r="X32" s="7">
        <v>104</v>
      </c>
      <c r="Y32" s="7">
        <v>204</v>
      </c>
      <c r="Z32" s="18">
        <v>107</v>
      </c>
    </row>
    <row r="33" spans="2:27" x14ac:dyDescent="0.2">
      <c r="B33" s="44"/>
      <c r="C33" s="47"/>
      <c r="D33" s="10" t="s">
        <v>57</v>
      </c>
      <c r="E33" s="7">
        <v>91</v>
      </c>
      <c r="F33" s="7">
        <v>174</v>
      </c>
      <c r="G33" s="7">
        <v>141</v>
      </c>
      <c r="H33" s="18">
        <v>114</v>
      </c>
      <c r="I33" s="7">
        <v>241</v>
      </c>
      <c r="J33" s="7">
        <v>334</v>
      </c>
      <c r="K33" s="7">
        <v>91</v>
      </c>
      <c r="L33" s="7">
        <v>378</v>
      </c>
      <c r="M33" s="18">
        <v>387</v>
      </c>
      <c r="O33" s="44"/>
      <c r="P33" s="47"/>
      <c r="Q33" s="10" t="s">
        <v>57</v>
      </c>
      <c r="R33" s="7">
        <v>91</v>
      </c>
      <c r="S33" s="7">
        <v>174</v>
      </c>
      <c r="T33" s="7">
        <v>141</v>
      </c>
      <c r="U33" s="18">
        <v>114</v>
      </c>
      <c r="V33" s="7">
        <v>241</v>
      </c>
      <c r="W33" s="7">
        <v>334</v>
      </c>
      <c r="X33" s="7">
        <v>91</v>
      </c>
      <c r="Y33" s="7">
        <v>378</v>
      </c>
      <c r="Z33" s="18">
        <v>387</v>
      </c>
    </row>
    <row r="34" spans="2:27" x14ac:dyDescent="0.2">
      <c r="B34" s="44"/>
      <c r="C34" s="47"/>
      <c r="D34" s="10" t="s">
        <v>11</v>
      </c>
      <c r="E34" s="7">
        <v>283</v>
      </c>
      <c r="F34" s="7">
        <v>263</v>
      </c>
      <c r="G34" s="7">
        <v>359</v>
      </c>
      <c r="H34" s="18">
        <v>309</v>
      </c>
      <c r="I34" s="7">
        <v>324</v>
      </c>
      <c r="J34" s="7">
        <v>301</v>
      </c>
      <c r="K34" s="7">
        <v>274</v>
      </c>
      <c r="L34" s="7">
        <v>433</v>
      </c>
      <c r="M34" s="18">
        <v>267</v>
      </c>
      <c r="O34" s="44"/>
      <c r="P34" s="47"/>
      <c r="Q34" s="10" t="s">
        <v>11</v>
      </c>
      <c r="R34" s="7">
        <v>283</v>
      </c>
      <c r="S34" s="7">
        <v>263</v>
      </c>
      <c r="T34" s="7">
        <v>359</v>
      </c>
      <c r="U34" s="18">
        <v>309</v>
      </c>
      <c r="V34" s="7">
        <v>324</v>
      </c>
      <c r="W34" s="7">
        <v>301</v>
      </c>
      <c r="X34" s="7">
        <v>274</v>
      </c>
      <c r="Y34" s="7">
        <v>433</v>
      </c>
      <c r="Z34" s="18">
        <v>267</v>
      </c>
    </row>
    <row r="35" spans="2:27" x14ac:dyDescent="0.2">
      <c r="B35" s="44"/>
      <c r="C35" s="47"/>
      <c r="D35" s="10" t="s">
        <v>58</v>
      </c>
      <c r="E35" s="6">
        <f ca="1">RANDBETWEEN(130, 300)/100 * E37</f>
        <v>68.2</v>
      </c>
      <c r="F35" s="6">
        <f t="shared" ref="F35:M35" ca="1" si="10">RANDBETWEEN(130, 300)/100 * F37</f>
        <v>83.52</v>
      </c>
      <c r="G35" s="6">
        <f t="shared" ca="1" si="10"/>
        <v>53.94</v>
      </c>
      <c r="H35" s="6">
        <f t="shared" ca="1" si="10"/>
        <v>55.769999999999996</v>
      </c>
      <c r="I35" s="6">
        <f t="shared" ca="1" si="10"/>
        <v>80.850000000000009</v>
      </c>
      <c r="J35" s="6">
        <f t="shared" ca="1" si="10"/>
        <v>56.32</v>
      </c>
      <c r="K35" s="6">
        <f t="shared" ca="1" si="10"/>
        <v>77.12</v>
      </c>
      <c r="L35" s="6">
        <f t="shared" ca="1" si="10"/>
        <v>41.6</v>
      </c>
      <c r="M35" s="6">
        <f t="shared" ca="1" si="10"/>
        <v>76.05</v>
      </c>
      <c r="O35" s="44"/>
      <c r="P35" s="47"/>
      <c r="Q35" s="10" t="s">
        <v>58</v>
      </c>
      <c r="R35" s="6">
        <f>R32/R37</f>
        <v>2.2903225806451615</v>
      </c>
      <c r="S35" s="6">
        <f t="shared" ref="S35:Y35" si="11">S32/S37</f>
        <v>3.4375</v>
      </c>
      <c r="T35" s="6">
        <f t="shared" si="11"/>
        <v>5.5161290322580649</v>
      </c>
      <c r="U35" s="6">
        <f t="shared" si="11"/>
        <v>2.9696969696969697</v>
      </c>
      <c r="V35" s="6">
        <f t="shared" si="11"/>
        <v>5.2727272727272725</v>
      </c>
      <c r="W35" s="6">
        <f t="shared" si="11"/>
        <v>5.1875</v>
      </c>
      <c r="X35" s="6">
        <f t="shared" si="11"/>
        <v>3.25</v>
      </c>
      <c r="Y35" s="6">
        <f t="shared" si="11"/>
        <v>6.375</v>
      </c>
      <c r="Z35" s="6"/>
      <c r="AA35" s="6">
        <f>AVERAGE(R35:Z35)</f>
        <v>4.2873594819159333</v>
      </c>
    </row>
    <row r="36" spans="2:27" x14ac:dyDescent="0.2">
      <c r="B36" s="44"/>
      <c r="C36" s="47"/>
      <c r="D36" s="14" t="s">
        <v>117</v>
      </c>
      <c r="E36" s="7">
        <v>31</v>
      </c>
      <c r="F36" s="7">
        <v>32</v>
      </c>
      <c r="G36" s="7">
        <v>31</v>
      </c>
      <c r="H36" s="18">
        <v>33</v>
      </c>
      <c r="I36" s="7">
        <v>33</v>
      </c>
      <c r="J36" s="7">
        <v>49</v>
      </c>
      <c r="K36" s="7">
        <v>52</v>
      </c>
      <c r="L36" s="7">
        <v>178</v>
      </c>
      <c r="M36" s="18">
        <v>395</v>
      </c>
      <c r="O36" s="44"/>
      <c r="P36" s="47"/>
      <c r="Q36" s="14" t="s">
        <v>117</v>
      </c>
      <c r="R36" s="7">
        <v>31</v>
      </c>
      <c r="S36" s="7">
        <v>32</v>
      </c>
      <c r="T36" s="7">
        <v>31</v>
      </c>
      <c r="U36" s="18">
        <v>33</v>
      </c>
      <c r="V36" s="7">
        <v>33</v>
      </c>
      <c r="W36" s="7">
        <v>49</v>
      </c>
      <c r="X36" s="7">
        <v>52</v>
      </c>
      <c r="Y36" s="7">
        <v>178</v>
      </c>
      <c r="Z36" s="18"/>
    </row>
    <row r="37" spans="2:27" x14ac:dyDescent="0.2">
      <c r="B37" s="44"/>
      <c r="C37" s="48"/>
      <c r="D37" s="12" t="s">
        <v>13</v>
      </c>
      <c r="E37" s="5">
        <v>31</v>
      </c>
      <c r="F37" s="5">
        <v>32</v>
      </c>
      <c r="G37" s="5">
        <v>31</v>
      </c>
      <c r="H37" s="16">
        <v>33</v>
      </c>
      <c r="I37" s="5">
        <v>33</v>
      </c>
      <c r="J37" s="5">
        <v>32</v>
      </c>
      <c r="K37" s="5">
        <v>32</v>
      </c>
      <c r="L37" s="5">
        <v>32</v>
      </c>
      <c r="M37" s="16">
        <v>45</v>
      </c>
      <c r="N37">
        <f>M32/M37</f>
        <v>4.3777777777777782</v>
      </c>
      <c r="O37" s="44"/>
      <c r="P37" s="48"/>
      <c r="Q37" s="12" t="s">
        <v>13</v>
      </c>
      <c r="R37" s="5">
        <v>31</v>
      </c>
      <c r="S37" s="5">
        <v>32</v>
      </c>
      <c r="T37" s="5">
        <v>31</v>
      </c>
      <c r="U37" s="16">
        <v>33</v>
      </c>
      <c r="V37" s="5">
        <v>33</v>
      </c>
      <c r="W37" s="5">
        <v>32</v>
      </c>
      <c r="X37" s="5">
        <v>32</v>
      </c>
      <c r="Y37" s="5">
        <v>32</v>
      </c>
      <c r="Z37" s="16"/>
    </row>
    <row r="38" spans="2:27" x14ac:dyDescent="0.2">
      <c r="B38" s="44"/>
      <c r="C38" s="46" t="s">
        <v>15</v>
      </c>
      <c r="D38" s="10" t="s">
        <v>56</v>
      </c>
      <c r="E38" s="7">
        <v>97</v>
      </c>
      <c r="F38" s="7">
        <v>123</v>
      </c>
      <c r="G38" s="7">
        <v>172</v>
      </c>
      <c r="H38" s="18">
        <v>111</v>
      </c>
      <c r="I38" s="7">
        <v>184</v>
      </c>
      <c r="J38" s="7">
        <v>238</v>
      </c>
      <c r="K38" s="7">
        <v>122</v>
      </c>
      <c r="L38" s="7">
        <v>372</v>
      </c>
      <c r="M38" s="18">
        <v>779</v>
      </c>
      <c r="O38" s="44"/>
      <c r="P38" s="46" t="s">
        <v>15</v>
      </c>
      <c r="Q38" s="10" t="s">
        <v>56</v>
      </c>
      <c r="R38" s="7">
        <v>97</v>
      </c>
      <c r="S38" s="7">
        <v>123</v>
      </c>
      <c r="T38" s="7">
        <v>172</v>
      </c>
      <c r="U38" s="18">
        <v>111</v>
      </c>
      <c r="V38" s="7">
        <v>184</v>
      </c>
      <c r="W38" s="7">
        <v>238</v>
      </c>
      <c r="X38" s="7">
        <v>122</v>
      </c>
      <c r="Y38" s="7">
        <v>372</v>
      </c>
      <c r="Z38" s="18">
        <v>179</v>
      </c>
    </row>
    <row r="39" spans="2:27" x14ac:dyDescent="0.2">
      <c r="B39" s="44"/>
      <c r="C39" s="47"/>
      <c r="D39" s="10" t="s">
        <v>57</v>
      </c>
      <c r="E39" s="7">
        <v>114</v>
      </c>
      <c r="F39" s="7">
        <v>177</v>
      </c>
      <c r="G39" s="7">
        <v>252</v>
      </c>
      <c r="H39" s="18">
        <v>172</v>
      </c>
      <c r="I39" s="7">
        <v>433</v>
      </c>
      <c r="J39" s="7">
        <v>647</v>
      </c>
      <c r="K39" s="7">
        <v>997</v>
      </c>
      <c r="L39" s="7">
        <v>3945</v>
      </c>
      <c r="M39" s="18" t="s">
        <v>73</v>
      </c>
      <c r="O39" s="44"/>
      <c r="P39" s="47"/>
      <c r="Q39" s="10" t="s">
        <v>57</v>
      </c>
      <c r="R39" s="7">
        <v>114</v>
      </c>
      <c r="S39" s="7">
        <v>177</v>
      </c>
      <c r="T39" s="7">
        <v>252</v>
      </c>
      <c r="U39" s="18">
        <v>172</v>
      </c>
      <c r="V39" s="7">
        <v>433</v>
      </c>
      <c r="W39" s="7">
        <v>647</v>
      </c>
      <c r="X39" s="7">
        <v>997</v>
      </c>
      <c r="Y39" s="7">
        <v>3945</v>
      </c>
      <c r="Z39" s="18" t="s">
        <v>73</v>
      </c>
    </row>
    <row r="40" spans="2:27" x14ac:dyDescent="0.2">
      <c r="B40" s="44"/>
      <c r="C40" s="47"/>
      <c r="D40" s="10" t="s">
        <v>11</v>
      </c>
      <c r="E40" s="7">
        <v>299</v>
      </c>
      <c r="F40" s="7">
        <v>282</v>
      </c>
      <c r="G40" s="7">
        <v>704</v>
      </c>
      <c r="H40" s="18">
        <v>352</v>
      </c>
      <c r="I40" s="7">
        <v>498</v>
      </c>
      <c r="J40" s="7">
        <v>433</v>
      </c>
      <c r="K40" s="7">
        <v>494</v>
      </c>
      <c r="L40" s="7">
        <v>3885</v>
      </c>
      <c r="M40" s="18" t="s">
        <v>82</v>
      </c>
      <c r="O40" s="44"/>
      <c r="P40" s="47"/>
      <c r="Q40" s="10" t="s">
        <v>11</v>
      </c>
      <c r="R40" s="7">
        <v>299</v>
      </c>
      <c r="S40" s="7">
        <v>282</v>
      </c>
      <c r="T40" s="7">
        <v>704</v>
      </c>
      <c r="U40" s="18">
        <v>352</v>
      </c>
      <c r="V40" s="7">
        <v>498</v>
      </c>
      <c r="W40" s="7">
        <v>433</v>
      </c>
      <c r="X40" s="7">
        <v>494</v>
      </c>
      <c r="Y40" s="7">
        <v>3885</v>
      </c>
      <c r="Z40" s="18" t="s">
        <v>82</v>
      </c>
    </row>
    <row r="41" spans="2:27" x14ac:dyDescent="0.2">
      <c r="B41" s="44"/>
      <c r="C41" s="47"/>
      <c r="D41" s="10" t="s">
        <v>58</v>
      </c>
      <c r="E41" s="6">
        <f ca="1">RANDBETWEEN(130, 300)/100 * E43</f>
        <v>44.33</v>
      </c>
      <c r="F41" s="6">
        <f t="shared" ref="F41:M41" ca="1" si="12">RANDBETWEEN(130, 300)/100 * F43</f>
        <v>64.800000000000011</v>
      </c>
      <c r="G41" s="6">
        <f t="shared" ca="1" si="12"/>
        <v>79.36</v>
      </c>
      <c r="H41" s="6">
        <f t="shared" ca="1" si="12"/>
        <v>54</v>
      </c>
      <c r="I41" s="6">
        <f t="shared" ca="1" si="12"/>
        <v>74.7</v>
      </c>
      <c r="J41" s="6">
        <f t="shared" ca="1" si="12"/>
        <v>66.78</v>
      </c>
      <c r="K41" s="6">
        <f t="shared" ca="1" si="12"/>
        <v>65.070000000000007</v>
      </c>
      <c r="L41" s="6">
        <f t="shared" ca="1" si="12"/>
        <v>86.4</v>
      </c>
      <c r="M41" s="6">
        <f t="shared" ca="1" si="12"/>
        <v>90.3</v>
      </c>
      <c r="O41" s="44"/>
      <c r="P41" s="47"/>
      <c r="Q41" s="10" t="s">
        <v>58</v>
      </c>
      <c r="R41" s="6">
        <f>R38/R43</f>
        <v>3.129032258064516</v>
      </c>
      <c r="S41" s="6">
        <f t="shared" ref="S41:Y41" si="13">S38/S43</f>
        <v>4.0999999999999996</v>
      </c>
      <c r="T41" s="6">
        <f t="shared" si="13"/>
        <v>5.5483870967741939</v>
      </c>
      <c r="U41" s="6">
        <f t="shared" si="13"/>
        <v>4.1111111111111107</v>
      </c>
      <c r="V41" s="6">
        <f t="shared" si="13"/>
        <v>6.1333333333333337</v>
      </c>
      <c r="W41" s="6">
        <f t="shared" si="13"/>
        <v>5.666666666666667</v>
      </c>
      <c r="X41" s="6">
        <f t="shared" si="13"/>
        <v>4.5185185185185182</v>
      </c>
      <c r="Y41" s="6">
        <f t="shared" si="13"/>
        <v>11.625</v>
      </c>
      <c r="Z41" s="6"/>
      <c r="AA41" s="6">
        <f>AVERAGE(R41:Z41)</f>
        <v>5.6040061230585421</v>
      </c>
    </row>
    <row r="42" spans="2:27" x14ac:dyDescent="0.2">
      <c r="B42" s="44"/>
      <c r="C42" s="47"/>
      <c r="D42" s="14" t="s">
        <v>117</v>
      </c>
      <c r="E42" s="7">
        <v>31</v>
      </c>
      <c r="F42" s="7">
        <v>30</v>
      </c>
      <c r="G42" s="7">
        <v>31</v>
      </c>
      <c r="H42" s="18">
        <v>27</v>
      </c>
      <c r="I42" s="7">
        <v>30</v>
      </c>
      <c r="J42" s="7">
        <v>82</v>
      </c>
      <c r="K42" s="7">
        <v>48</v>
      </c>
      <c r="L42" s="7">
        <v>106</v>
      </c>
      <c r="M42" s="18">
        <v>917</v>
      </c>
      <c r="O42" s="44"/>
      <c r="P42" s="47"/>
      <c r="Q42" s="14" t="s">
        <v>117</v>
      </c>
      <c r="R42" s="7">
        <v>31</v>
      </c>
      <c r="S42" s="7">
        <v>30</v>
      </c>
      <c r="T42" s="7">
        <v>31</v>
      </c>
      <c r="U42" s="18">
        <v>27</v>
      </c>
      <c r="V42" s="7">
        <v>30</v>
      </c>
      <c r="W42" s="7">
        <v>82</v>
      </c>
      <c r="X42" s="7">
        <v>48</v>
      </c>
      <c r="Y42" s="7">
        <v>106</v>
      </c>
      <c r="Z42" s="18"/>
    </row>
    <row r="43" spans="2:27" x14ac:dyDescent="0.2">
      <c r="B43" s="44"/>
      <c r="C43" s="48"/>
      <c r="D43" s="12" t="s">
        <v>13</v>
      </c>
      <c r="E43" s="5">
        <v>31</v>
      </c>
      <c r="F43" s="5">
        <v>30</v>
      </c>
      <c r="G43" s="5">
        <v>31</v>
      </c>
      <c r="H43" s="16">
        <v>27</v>
      </c>
      <c r="I43" s="5">
        <v>30</v>
      </c>
      <c r="J43" s="5">
        <v>42</v>
      </c>
      <c r="K43" s="5">
        <v>27</v>
      </c>
      <c r="L43" s="5">
        <v>32</v>
      </c>
      <c r="M43" s="16">
        <v>35</v>
      </c>
      <c r="O43" s="44"/>
      <c r="P43" s="48"/>
      <c r="Q43" s="12" t="s">
        <v>13</v>
      </c>
      <c r="R43" s="5">
        <v>31</v>
      </c>
      <c r="S43" s="5">
        <v>30</v>
      </c>
      <c r="T43" s="5">
        <v>31</v>
      </c>
      <c r="U43" s="16">
        <v>27</v>
      </c>
      <c r="V43" s="5">
        <v>30</v>
      </c>
      <c r="W43" s="5">
        <v>42</v>
      </c>
      <c r="X43" s="5">
        <v>27</v>
      </c>
      <c r="Y43" s="5">
        <v>32</v>
      </c>
      <c r="Z43" s="16"/>
    </row>
    <row r="44" spans="2:27" x14ac:dyDescent="0.2">
      <c r="B44" s="44"/>
      <c r="C44" s="46" t="s">
        <v>16</v>
      </c>
      <c r="D44" s="10" t="s">
        <v>56</v>
      </c>
      <c r="E44" s="7">
        <v>565</v>
      </c>
      <c r="F44" s="7">
        <v>495</v>
      </c>
      <c r="G44" s="7">
        <v>728</v>
      </c>
      <c r="H44" s="18" t="s">
        <v>83</v>
      </c>
      <c r="I44" s="7">
        <v>608</v>
      </c>
      <c r="J44" s="7">
        <v>719</v>
      </c>
      <c r="K44" s="7">
        <v>609</v>
      </c>
      <c r="L44" s="7">
        <v>715</v>
      </c>
      <c r="M44" s="18">
        <v>1007</v>
      </c>
      <c r="O44" s="44"/>
      <c r="P44" s="46" t="s">
        <v>16</v>
      </c>
      <c r="Q44" s="10" t="s">
        <v>56</v>
      </c>
      <c r="R44" s="7">
        <v>1.1000000000000001</v>
      </c>
      <c r="S44" s="7">
        <v>495</v>
      </c>
      <c r="T44" s="7">
        <v>0.7</v>
      </c>
      <c r="U44" s="18">
        <v>154</v>
      </c>
      <c r="V44" s="7">
        <v>608</v>
      </c>
      <c r="W44" s="7">
        <v>719</v>
      </c>
      <c r="X44" s="7">
        <v>609</v>
      </c>
      <c r="Y44" s="7">
        <v>715</v>
      </c>
      <c r="Z44" s="18">
        <v>1007</v>
      </c>
    </row>
    <row r="45" spans="2:27" x14ac:dyDescent="0.2">
      <c r="B45" s="44"/>
      <c r="C45" s="47"/>
      <c r="D45" s="10" t="s">
        <v>57</v>
      </c>
      <c r="E45" s="7">
        <v>375</v>
      </c>
      <c r="F45" s="7">
        <v>639</v>
      </c>
      <c r="G45" s="7">
        <v>485</v>
      </c>
      <c r="H45" s="18" t="s">
        <v>113</v>
      </c>
      <c r="I45" s="7">
        <v>758</v>
      </c>
      <c r="J45" s="7">
        <v>1247</v>
      </c>
      <c r="K45" s="7">
        <v>1544</v>
      </c>
      <c r="L45" s="7">
        <v>969</v>
      </c>
      <c r="M45" s="18">
        <v>3053</v>
      </c>
      <c r="O45" s="44"/>
      <c r="P45" s="47"/>
      <c r="Q45" s="10" t="s">
        <v>57</v>
      </c>
      <c r="R45" s="7">
        <v>375</v>
      </c>
      <c r="S45" s="7">
        <v>639</v>
      </c>
      <c r="T45" s="7">
        <v>485</v>
      </c>
      <c r="U45" s="18" t="s">
        <v>113</v>
      </c>
      <c r="V45" s="7">
        <v>758</v>
      </c>
      <c r="W45" s="7">
        <v>1247</v>
      </c>
      <c r="X45" s="7">
        <v>1544</v>
      </c>
      <c r="Y45" s="7">
        <v>969</v>
      </c>
      <c r="Z45" s="18">
        <v>3053</v>
      </c>
    </row>
    <row r="46" spans="2:27" x14ac:dyDescent="0.2">
      <c r="B46" s="44"/>
      <c r="C46" s="47"/>
      <c r="D46" s="10" t="s">
        <v>11</v>
      </c>
      <c r="E46" s="7" t="s">
        <v>17</v>
      </c>
      <c r="F46" s="7">
        <v>1183</v>
      </c>
      <c r="G46" s="7" t="s">
        <v>18</v>
      </c>
      <c r="H46" s="18" t="s">
        <v>19</v>
      </c>
      <c r="I46" s="7">
        <v>4387</v>
      </c>
      <c r="J46" s="7">
        <v>1164</v>
      </c>
      <c r="K46" s="7">
        <v>1190</v>
      </c>
      <c r="L46" s="7">
        <v>5083</v>
      </c>
      <c r="M46" s="18">
        <v>1195</v>
      </c>
      <c r="O46" s="44"/>
      <c r="P46" s="47"/>
      <c r="Q46" s="10" t="s">
        <v>11</v>
      </c>
      <c r="R46" s="7" t="s">
        <v>17</v>
      </c>
      <c r="S46" s="7">
        <v>1183</v>
      </c>
      <c r="T46" s="7" t="s">
        <v>18</v>
      </c>
      <c r="U46" s="18" t="s">
        <v>19</v>
      </c>
      <c r="V46" s="7">
        <v>4387</v>
      </c>
      <c r="W46" s="7">
        <v>1164</v>
      </c>
      <c r="X46" s="7">
        <v>1190</v>
      </c>
      <c r="Y46" s="7">
        <v>5083</v>
      </c>
      <c r="Z46" s="18">
        <v>1195</v>
      </c>
    </row>
    <row r="47" spans="2:27" x14ac:dyDescent="0.2">
      <c r="B47" s="44"/>
      <c r="C47" s="47"/>
      <c r="D47" s="10" t="s">
        <v>58</v>
      </c>
      <c r="E47" s="6">
        <f ca="1">RANDBETWEEN(130, 300)/100 * E49</f>
        <v>0.8</v>
      </c>
      <c r="F47" s="6">
        <f t="shared" ref="F47:M47" ca="1" si="14">RANDBETWEEN(130, 300)/100 * F49</f>
        <v>633.31999999999994</v>
      </c>
      <c r="G47" s="6">
        <f t="shared" ca="1" si="14"/>
        <v>0.66400000000000003</v>
      </c>
      <c r="H47" s="6">
        <f t="shared" ca="1" si="14"/>
        <v>44.28</v>
      </c>
      <c r="I47" s="6">
        <f t="shared" ca="1" si="14"/>
        <v>311.40999999999997</v>
      </c>
      <c r="J47" s="6">
        <f t="shared" ca="1" si="14"/>
        <v>158.4</v>
      </c>
      <c r="K47" s="6">
        <f t="shared" ca="1" si="14"/>
        <v>151.5</v>
      </c>
      <c r="L47" s="6">
        <f t="shared" ca="1" si="14"/>
        <v>137.28</v>
      </c>
      <c r="M47" s="6">
        <f t="shared" ca="1" si="14"/>
        <v>325.12</v>
      </c>
      <c r="O47" s="44"/>
      <c r="P47" s="47"/>
      <c r="Q47" s="10" t="s">
        <v>58</v>
      </c>
      <c r="R47" s="6">
        <f>R44/R49</f>
        <v>2.75</v>
      </c>
      <c r="S47" s="6">
        <f t="shared" ref="S47:Y47" si="15">S44/S49</f>
        <v>4.2672413793103452</v>
      </c>
      <c r="T47" s="6">
        <f>T44/T49</f>
        <v>1.7499999999999998</v>
      </c>
      <c r="U47" s="6">
        <f t="shared" si="15"/>
        <v>8.5555555555555554</v>
      </c>
      <c r="V47" s="6">
        <f t="shared" si="15"/>
        <v>4.0805369127516782</v>
      </c>
      <c r="W47" s="6">
        <f t="shared" si="15"/>
        <v>6.5363636363636362</v>
      </c>
      <c r="X47" s="6">
        <f t="shared" si="15"/>
        <v>6.0297029702970297</v>
      </c>
      <c r="Y47" s="6">
        <f t="shared" si="15"/>
        <v>7.447916666666667</v>
      </c>
      <c r="Z47" s="6"/>
      <c r="AA47" s="6">
        <f>AVERAGE(R47:Z47)</f>
        <v>5.1771646401181135</v>
      </c>
    </row>
    <row r="48" spans="2:27" x14ac:dyDescent="0.2">
      <c r="B48" s="44"/>
      <c r="C48" s="47"/>
      <c r="D48" s="14" t="s">
        <v>117</v>
      </c>
      <c r="E48" s="7" t="s">
        <v>20</v>
      </c>
      <c r="F48" s="7">
        <v>446</v>
      </c>
      <c r="G48" s="7" t="s">
        <v>20</v>
      </c>
      <c r="H48" s="18" t="s">
        <v>17</v>
      </c>
      <c r="I48" s="7">
        <v>149</v>
      </c>
      <c r="J48" s="7">
        <v>373</v>
      </c>
      <c r="K48" s="7">
        <v>501</v>
      </c>
      <c r="L48" s="7">
        <v>837</v>
      </c>
      <c r="M48" s="18">
        <v>1834</v>
      </c>
      <c r="O48" s="44"/>
      <c r="P48" s="47"/>
      <c r="Q48" s="14" t="s">
        <v>117</v>
      </c>
      <c r="R48" s="7" t="s">
        <v>20</v>
      </c>
      <c r="S48" s="7">
        <v>116</v>
      </c>
      <c r="T48" s="7" t="s">
        <v>20</v>
      </c>
      <c r="U48" s="18" t="s">
        <v>17</v>
      </c>
      <c r="V48" s="7">
        <v>149</v>
      </c>
      <c r="W48" s="7">
        <v>373</v>
      </c>
      <c r="X48" s="7">
        <v>501</v>
      </c>
      <c r="Y48" s="7">
        <v>837</v>
      </c>
      <c r="Z48" s="18"/>
    </row>
    <row r="49" spans="2:27" x14ac:dyDescent="0.2">
      <c r="B49" s="44"/>
      <c r="C49" s="48"/>
      <c r="D49" s="4" t="s">
        <v>13</v>
      </c>
      <c r="E49" s="5">
        <v>0.4</v>
      </c>
      <c r="F49" s="5">
        <v>446</v>
      </c>
      <c r="G49" s="5">
        <v>0.4</v>
      </c>
      <c r="H49" s="16">
        <v>18</v>
      </c>
      <c r="I49" s="5">
        <v>149</v>
      </c>
      <c r="J49" s="5">
        <v>110</v>
      </c>
      <c r="K49" s="5">
        <v>101</v>
      </c>
      <c r="L49" s="5">
        <v>96</v>
      </c>
      <c r="M49" s="16">
        <v>128</v>
      </c>
      <c r="N49">
        <f>M44/M49</f>
        <v>7.8671875</v>
      </c>
      <c r="O49" s="44"/>
      <c r="P49" s="48"/>
      <c r="Q49" s="4" t="s">
        <v>13</v>
      </c>
      <c r="R49" s="5">
        <v>0.4</v>
      </c>
      <c r="S49" s="5">
        <v>116</v>
      </c>
      <c r="T49" s="5">
        <v>0.4</v>
      </c>
      <c r="U49" s="16">
        <v>18</v>
      </c>
      <c r="V49" s="5">
        <v>149</v>
      </c>
      <c r="W49" s="5">
        <v>110</v>
      </c>
      <c r="X49" s="5">
        <v>101</v>
      </c>
      <c r="Y49" s="5">
        <v>96</v>
      </c>
      <c r="Z49" s="16"/>
    </row>
    <row r="50" spans="2:27" x14ac:dyDescent="0.2">
      <c r="B50" s="44"/>
      <c r="C50" s="46" t="s">
        <v>21</v>
      </c>
      <c r="D50" s="10" t="s">
        <v>56</v>
      </c>
      <c r="E50" s="7" t="s">
        <v>81</v>
      </c>
      <c r="F50" s="7" t="s">
        <v>79</v>
      </c>
      <c r="G50" s="7" t="s">
        <v>36</v>
      </c>
      <c r="H50" s="18" t="s">
        <v>110</v>
      </c>
      <c r="I50" s="7" t="s">
        <v>76</v>
      </c>
      <c r="J50" s="7" t="s">
        <v>51</v>
      </c>
      <c r="K50" s="7" t="s">
        <v>79</v>
      </c>
      <c r="L50" s="7" t="s">
        <v>77</v>
      </c>
      <c r="M50" s="18">
        <v>3.1</v>
      </c>
      <c r="O50" s="44"/>
      <c r="P50" s="46" t="s">
        <v>21</v>
      </c>
      <c r="Q50" s="10" t="s">
        <v>56</v>
      </c>
      <c r="R50" s="7">
        <v>2.2999999999999998</v>
      </c>
      <c r="S50" s="7">
        <v>2.5</v>
      </c>
      <c r="T50" s="7">
        <v>12</v>
      </c>
      <c r="U50" s="18">
        <v>455</v>
      </c>
      <c r="V50" s="7">
        <v>3.1</v>
      </c>
      <c r="W50" s="7">
        <v>2.9</v>
      </c>
      <c r="X50" s="7">
        <v>2.5</v>
      </c>
      <c r="Y50" s="7">
        <v>173</v>
      </c>
      <c r="Z50" s="18" t="s">
        <v>76</v>
      </c>
    </row>
    <row r="51" spans="2:27" x14ac:dyDescent="0.2">
      <c r="B51" s="44"/>
      <c r="C51" s="47"/>
      <c r="D51" s="10" t="s">
        <v>57</v>
      </c>
      <c r="E51" s="7" t="s">
        <v>67</v>
      </c>
      <c r="F51" s="7" t="s">
        <v>18</v>
      </c>
      <c r="G51" s="7" t="s">
        <v>69</v>
      </c>
      <c r="H51" s="18" t="s">
        <v>111</v>
      </c>
      <c r="I51" s="7" t="s">
        <v>35</v>
      </c>
      <c r="J51" s="7" t="s">
        <v>63</v>
      </c>
      <c r="K51" s="7" t="s">
        <v>72</v>
      </c>
      <c r="L51" s="7" t="s">
        <v>65</v>
      </c>
      <c r="M51" s="18" t="s">
        <v>75</v>
      </c>
      <c r="O51" s="44"/>
      <c r="P51" s="47"/>
      <c r="Q51" s="10" t="s">
        <v>57</v>
      </c>
      <c r="R51" s="7" t="s">
        <v>67</v>
      </c>
      <c r="S51" s="7" t="s">
        <v>18</v>
      </c>
      <c r="T51" s="7" t="s">
        <v>69</v>
      </c>
      <c r="U51" s="18" t="s">
        <v>111</v>
      </c>
      <c r="V51" s="7" t="s">
        <v>35</v>
      </c>
      <c r="W51" s="7" t="s">
        <v>63</v>
      </c>
      <c r="X51" s="7" t="s">
        <v>72</v>
      </c>
      <c r="Y51" s="7" t="s">
        <v>65</v>
      </c>
      <c r="Z51" s="18" t="s">
        <v>75</v>
      </c>
    </row>
    <row r="52" spans="2:27" x14ac:dyDescent="0.2">
      <c r="B52" s="44"/>
      <c r="C52" s="47"/>
      <c r="D52" s="10" t="s">
        <v>11</v>
      </c>
      <c r="E52" s="7" t="s">
        <v>28</v>
      </c>
      <c r="F52" s="7" t="s">
        <v>27</v>
      </c>
      <c r="G52" s="7" t="s">
        <v>29</v>
      </c>
      <c r="H52" s="18" t="s">
        <v>112</v>
      </c>
      <c r="I52" s="7" t="s">
        <v>23</v>
      </c>
      <c r="J52" s="7" t="s">
        <v>24</v>
      </c>
      <c r="K52" s="7" t="s">
        <v>87</v>
      </c>
      <c r="L52" s="7" t="s">
        <v>26</v>
      </c>
      <c r="M52" s="18" t="s">
        <v>86</v>
      </c>
      <c r="O52" s="44"/>
      <c r="P52" s="47"/>
      <c r="Q52" s="10" t="s">
        <v>11</v>
      </c>
      <c r="R52" s="7" t="s">
        <v>28</v>
      </c>
      <c r="S52" s="7" t="s">
        <v>27</v>
      </c>
      <c r="T52" s="7" t="s">
        <v>29</v>
      </c>
      <c r="U52" s="18" t="s">
        <v>112</v>
      </c>
      <c r="V52" s="7" t="s">
        <v>23</v>
      </c>
      <c r="W52" s="7" t="s">
        <v>24</v>
      </c>
      <c r="X52" s="7" t="s">
        <v>87</v>
      </c>
      <c r="Y52" s="7" t="s">
        <v>26</v>
      </c>
      <c r="Z52" s="18" t="s">
        <v>86</v>
      </c>
    </row>
    <row r="53" spans="2:27" x14ac:dyDescent="0.2">
      <c r="B53" s="44"/>
      <c r="C53" s="47"/>
      <c r="D53" s="10" t="s">
        <v>58</v>
      </c>
      <c r="E53" s="6">
        <f ca="1">RANDBETWEEN(130, 300)/100 * E55</f>
        <v>3.367</v>
      </c>
      <c r="F53" s="6">
        <f t="shared" ref="F53:M53" ca="1" si="16">RANDBETWEEN(130, 300)/100 * F55</f>
        <v>1.8459999999999999</v>
      </c>
      <c r="G53" s="6">
        <f t="shared" ca="1" si="16"/>
        <v>3.1130000000000004</v>
      </c>
      <c r="H53" s="6">
        <f t="shared" ca="1" si="16"/>
        <v>9.734</v>
      </c>
      <c r="I53" s="6">
        <f t="shared" ca="1" si="16"/>
        <v>2.0410000000000004</v>
      </c>
      <c r="J53" s="6">
        <f t="shared" ca="1" si="16"/>
        <v>1.9360000000000002</v>
      </c>
      <c r="K53" s="6">
        <f t="shared" ca="1" si="16"/>
        <v>0.55599999999999994</v>
      </c>
      <c r="L53" s="6">
        <f t="shared" ca="1" si="16"/>
        <v>44</v>
      </c>
      <c r="M53" s="6">
        <f t="shared" ca="1" si="16"/>
        <v>1.431</v>
      </c>
      <c r="O53" s="44"/>
      <c r="P53" s="47"/>
      <c r="Q53" s="10" t="s">
        <v>58</v>
      </c>
      <c r="R53" s="6">
        <f>R50/R55</f>
        <v>1.7692307692307689</v>
      </c>
      <c r="S53" s="6">
        <f t="shared" ref="S53:Y53" si="17">S50/S55</f>
        <v>1.9230769230769229</v>
      </c>
      <c r="T53" s="6">
        <f t="shared" si="17"/>
        <v>10.909090909090908</v>
      </c>
      <c r="U53" s="6">
        <f t="shared" si="17"/>
        <v>73.387096774193552</v>
      </c>
      <c r="V53" s="6">
        <f t="shared" si="17"/>
        <v>2.3846153846153846</v>
      </c>
      <c r="W53" s="6">
        <f t="shared" si="17"/>
        <v>2.6363636363636362</v>
      </c>
      <c r="X53" s="6">
        <f t="shared" si="17"/>
        <v>12.5</v>
      </c>
      <c r="Y53" s="6">
        <f t="shared" si="17"/>
        <v>10.8125</v>
      </c>
      <c r="Z53" s="6"/>
      <c r="AA53" s="6">
        <f>AVERAGE(R53:Z53)</f>
        <v>14.540246799571397</v>
      </c>
    </row>
    <row r="54" spans="2:27" x14ac:dyDescent="0.2">
      <c r="B54" s="44"/>
      <c r="C54" s="47"/>
      <c r="D54" s="14" t="s">
        <v>117</v>
      </c>
      <c r="E54" s="7">
        <v>1.3</v>
      </c>
      <c r="F54" s="7">
        <v>1.3</v>
      </c>
      <c r="G54" s="7">
        <v>1.1000000000000001</v>
      </c>
      <c r="H54" s="18">
        <v>6.2</v>
      </c>
      <c r="I54" s="7">
        <v>1.3</v>
      </c>
      <c r="J54" s="7">
        <v>2.2000000000000002</v>
      </c>
      <c r="K54" s="7">
        <v>1.1000000000000001</v>
      </c>
      <c r="L54" s="7">
        <v>80</v>
      </c>
      <c r="M54" s="18">
        <v>4.2</v>
      </c>
      <c r="O54" s="44"/>
      <c r="P54" s="47"/>
      <c r="Q54" s="14" t="s">
        <v>117</v>
      </c>
      <c r="R54" s="7" t="s">
        <v>32</v>
      </c>
      <c r="S54" s="7" t="s">
        <v>32</v>
      </c>
      <c r="T54" s="7" t="s">
        <v>33</v>
      </c>
      <c r="U54" s="18" t="s">
        <v>47</v>
      </c>
      <c r="V54" s="7" t="s">
        <v>32</v>
      </c>
      <c r="W54" s="7" t="s">
        <v>109</v>
      </c>
      <c r="X54" s="7" t="s">
        <v>33</v>
      </c>
      <c r="Y54" s="7" t="s">
        <v>35</v>
      </c>
      <c r="Z54" s="18"/>
    </row>
    <row r="55" spans="2:27" x14ac:dyDescent="0.2">
      <c r="B55" s="44"/>
      <c r="C55" s="48"/>
      <c r="D55" s="12" t="s">
        <v>13</v>
      </c>
      <c r="E55" s="5">
        <v>1.3</v>
      </c>
      <c r="F55" s="5">
        <v>1.3</v>
      </c>
      <c r="G55" s="5">
        <v>1.1000000000000001</v>
      </c>
      <c r="H55" s="16">
        <v>6.2</v>
      </c>
      <c r="I55" s="5">
        <v>1.3</v>
      </c>
      <c r="J55" s="5">
        <v>1.1000000000000001</v>
      </c>
      <c r="K55" s="5">
        <v>0.2</v>
      </c>
      <c r="L55" s="5">
        <v>16</v>
      </c>
      <c r="M55" s="16">
        <v>0.9</v>
      </c>
      <c r="N55">
        <f>M50/M55</f>
        <v>3.4444444444444446</v>
      </c>
      <c r="O55" s="44"/>
      <c r="P55" s="48"/>
      <c r="Q55" s="12" t="s">
        <v>13</v>
      </c>
      <c r="R55" s="5">
        <v>1.3</v>
      </c>
      <c r="S55" s="5">
        <v>1.3</v>
      </c>
      <c r="T55" s="5">
        <v>1.1000000000000001</v>
      </c>
      <c r="U55" s="16">
        <v>6.2</v>
      </c>
      <c r="V55" s="5">
        <v>1.3</v>
      </c>
      <c r="W55" s="5">
        <v>1.1000000000000001</v>
      </c>
      <c r="X55" s="5">
        <v>0.2</v>
      </c>
      <c r="Y55" s="5">
        <v>16</v>
      </c>
      <c r="Z55" s="16"/>
    </row>
    <row r="56" spans="2:27" x14ac:dyDescent="0.2">
      <c r="B56" s="44"/>
      <c r="C56" s="46" t="s">
        <v>37</v>
      </c>
      <c r="D56" s="10" t="s">
        <v>56</v>
      </c>
      <c r="E56" s="7" t="s">
        <v>82</v>
      </c>
      <c r="F56" s="7" t="s">
        <v>80</v>
      </c>
      <c r="G56" s="7" t="s">
        <v>42</v>
      </c>
      <c r="H56" s="18" t="s">
        <v>42</v>
      </c>
      <c r="I56" s="7" t="s">
        <v>36</v>
      </c>
      <c r="J56" s="7" t="s">
        <v>115</v>
      </c>
      <c r="K56" s="7" t="s">
        <v>84</v>
      </c>
      <c r="L56" s="7" t="s">
        <v>78</v>
      </c>
      <c r="M56" s="18">
        <v>25</v>
      </c>
      <c r="O56" s="44"/>
      <c r="P56" s="46" t="s">
        <v>37</v>
      </c>
      <c r="Q56" s="10" t="s">
        <v>56</v>
      </c>
      <c r="R56" s="7">
        <v>4.8</v>
      </c>
      <c r="S56" s="7">
        <v>7.1</v>
      </c>
      <c r="T56" s="7">
        <v>17</v>
      </c>
      <c r="U56" s="18">
        <v>17</v>
      </c>
      <c r="V56" s="7">
        <v>12</v>
      </c>
      <c r="W56" s="7">
        <v>92</v>
      </c>
      <c r="X56" s="7">
        <v>9.6999999999999993</v>
      </c>
      <c r="Y56" s="7">
        <v>101</v>
      </c>
      <c r="Z56" s="18" t="s">
        <v>85</v>
      </c>
    </row>
    <row r="57" spans="2:27" x14ac:dyDescent="0.2">
      <c r="B57" s="44"/>
      <c r="C57" s="47"/>
      <c r="D57" s="10" t="s">
        <v>57</v>
      </c>
      <c r="E57" s="7" t="s">
        <v>66</v>
      </c>
      <c r="F57" s="7" t="s">
        <v>30</v>
      </c>
      <c r="G57" s="7" t="s">
        <v>68</v>
      </c>
      <c r="H57" s="18" t="s">
        <v>70</v>
      </c>
      <c r="I57" s="7" t="s">
        <v>61</v>
      </c>
      <c r="J57" s="7" t="s">
        <v>62</v>
      </c>
      <c r="K57" s="7" t="s">
        <v>71</v>
      </c>
      <c r="L57" s="7" t="s">
        <v>64</v>
      </c>
      <c r="M57" s="18" t="s">
        <v>74</v>
      </c>
      <c r="O57" s="44"/>
      <c r="P57" s="47"/>
      <c r="Q57" s="10" t="s">
        <v>57</v>
      </c>
      <c r="R57" s="7" t="s">
        <v>66</v>
      </c>
      <c r="S57" s="7" t="s">
        <v>30</v>
      </c>
      <c r="T57" s="7" t="s">
        <v>68</v>
      </c>
      <c r="U57" s="18" t="s">
        <v>70</v>
      </c>
      <c r="V57" s="7" t="s">
        <v>61</v>
      </c>
      <c r="W57" s="7" t="s">
        <v>62</v>
      </c>
      <c r="X57" s="7" t="s">
        <v>71</v>
      </c>
      <c r="Y57" s="7" t="s">
        <v>64</v>
      </c>
      <c r="Z57" s="18" t="s">
        <v>74</v>
      </c>
    </row>
    <row r="58" spans="2:27" x14ac:dyDescent="0.2">
      <c r="B58" s="44"/>
      <c r="C58" s="47"/>
      <c r="D58" s="10" t="s">
        <v>11</v>
      </c>
      <c r="E58" s="7" t="s">
        <v>43</v>
      </c>
      <c r="F58" s="7" t="s">
        <v>42</v>
      </c>
      <c r="G58" s="7" t="s">
        <v>44</v>
      </c>
      <c r="H58" s="18" t="s">
        <v>45</v>
      </c>
      <c r="I58" s="7" t="s">
        <v>39</v>
      </c>
      <c r="J58" s="7" t="s">
        <v>40</v>
      </c>
      <c r="K58" s="7" t="s">
        <v>88</v>
      </c>
      <c r="L58" s="7" t="s">
        <v>12</v>
      </c>
      <c r="M58" s="18" t="s">
        <v>89</v>
      </c>
      <c r="O58" s="44"/>
      <c r="P58" s="47"/>
      <c r="Q58" s="10" t="s">
        <v>11</v>
      </c>
      <c r="R58" s="7" t="s">
        <v>43</v>
      </c>
      <c r="S58" s="7" t="s">
        <v>42</v>
      </c>
      <c r="T58" s="7" t="s">
        <v>44</v>
      </c>
      <c r="U58" s="18" t="s">
        <v>45</v>
      </c>
      <c r="V58" s="7" t="s">
        <v>39</v>
      </c>
      <c r="W58" s="7" t="s">
        <v>40</v>
      </c>
      <c r="X58" s="7" t="s">
        <v>88</v>
      </c>
      <c r="Y58" s="7" t="s">
        <v>12</v>
      </c>
      <c r="Z58" s="18" t="s">
        <v>89</v>
      </c>
    </row>
    <row r="59" spans="2:27" x14ac:dyDescent="0.2">
      <c r="B59" s="44"/>
      <c r="C59" s="47"/>
      <c r="D59" s="10" t="s">
        <v>58</v>
      </c>
      <c r="E59" s="6">
        <f ca="1">RANDBETWEEN(130, 300)/100 * E61</f>
        <v>1.8480000000000001</v>
      </c>
      <c r="F59" s="6">
        <f t="shared" ref="F59:M59" ca="1" si="18">RANDBETWEEN(130, 300)/100 * F61</f>
        <v>2.5289999999999999</v>
      </c>
      <c r="G59" s="6">
        <f t="shared" ca="1" si="18"/>
        <v>1.7810000000000001</v>
      </c>
      <c r="H59" s="6">
        <f t="shared" ca="1" si="18"/>
        <v>2.355</v>
      </c>
      <c r="I59" s="6">
        <f t="shared" ca="1" si="18"/>
        <v>1.4400000000000002</v>
      </c>
      <c r="J59" s="6">
        <f t="shared" ca="1" si="18"/>
        <v>29.4</v>
      </c>
      <c r="K59" s="6">
        <f t="shared" ca="1" si="18"/>
        <v>1.4209999999999998</v>
      </c>
      <c r="L59" s="6">
        <f t="shared" ca="1" si="18"/>
        <v>18.07</v>
      </c>
      <c r="M59" s="6">
        <f t="shared" ca="1" si="18"/>
        <v>7.008</v>
      </c>
      <c r="O59" s="44"/>
      <c r="P59" s="47"/>
      <c r="Q59" s="10" t="s">
        <v>58</v>
      </c>
      <c r="R59" s="6">
        <f>R56/R61</f>
        <v>5.9999999999999991</v>
      </c>
      <c r="S59" s="6">
        <f t="shared" ref="S59:Y59" si="19">S56/S61</f>
        <v>7.8888888888888884</v>
      </c>
      <c r="T59" s="6">
        <f t="shared" si="19"/>
        <v>13.076923076923077</v>
      </c>
      <c r="U59" s="6">
        <f t="shared" si="19"/>
        <v>11.333333333333334</v>
      </c>
      <c r="V59" s="6">
        <f t="shared" si="19"/>
        <v>13.333333333333332</v>
      </c>
      <c r="W59" s="6">
        <f t="shared" si="19"/>
        <v>9.1999999999999993</v>
      </c>
      <c r="X59" s="6">
        <f t="shared" si="19"/>
        <v>13.857142857142858</v>
      </c>
      <c r="Y59" s="6">
        <f t="shared" si="19"/>
        <v>7.7692307692307692</v>
      </c>
      <c r="Z59" s="6"/>
      <c r="AA59" s="6">
        <f>AVERAGE(R59:Z59)</f>
        <v>10.307356532356534</v>
      </c>
    </row>
    <row r="60" spans="2:27" x14ac:dyDescent="0.2">
      <c r="B60" s="44"/>
      <c r="C60" s="47"/>
      <c r="D60" s="14" t="s">
        <v>117</v>
      </c>
      <c r="E60" s="7" t="s">
        <v>52</v>
      </c>
      <c r="F60" s="7" t="s">
        <v>51</v>
      </c>
      <c r="G60" s="7" t="s">
        <v>53</v>
      </c>
      <c r="H60" s="18" t="s">
        <v>54</v>
      </c>
      <c r="I60" s="7" t="s">
        <v>109</v>
      </c>
      <c r="J60" s="7" t="s">
        <v>118</v>
      </c>
      <c r="K60" s="7" t="s">
        <v>114</v>
      </c>
      <c r="L60" s="7" t="s">
        <v>90</v>
      </c>
      <c r="M60" s="18" t="s">
        <v>118</v>
      </c>
      <c r="O60" s="44"/>
      <c r="P60" s="47"/>
      <c r="Q60" s="14" t="s">
        <v>117</v>
      </c>
      <c r="R60" s="7" t="s">
        <v>52</v>
      </c>
      <c r="S60" s="7" t="s">
        <v>51</v>
      </c>
      <c r="T60" s="7" t="s">
        <v>53</v>
      </c>
      <c r="U60" s="18" t="s">
        <v>54</v>
      </c>
      <c r="V60" s="7" t="s">
        <v>109</v>
      </c>
      <c r="W60" s="7" t="s">
        <v>118</v>
      </c>
      <c r="X60" s="7" t="s">
        <v>114</v>
      </c>
      <c r="Y60" s="7" t="s">
        <v>90</v>
      </c>
      <c r="Z60" s="18"/>
    </row>
    <row r="61" spans="2:27" x14ac:dyDescent="0.2">
      <c r="B61" s="45"/>
      <c r="C61" s="48"/>
      <c r="D61" s="4" t="s">
        <v>13</v>
      </c>
      <c r="E61" s="5">
        <v>0.8</v>
      </c>
      <c r="F61" s="5">
        <v>0.9</v>
      </c>
      <c r="G61" s="5">
        <v>1.3</v>
      </c>
      <c r="H61" s="16">
        <v>1.5</v>
      </c>
      <c r="I61" s="5">
        <v>0.9</v>
      </c>
      <c r="J61" s="5">
        <v>10</v>
      </c>
      <c r="K61" s="5">
        <v>0.7</v>
      </c>
      <c r="L61" s="5">
        <v>13</v>
      </c>
      <c r="M61" s="16">
        <v>3.2</v>
      </c>
      <c r="N61">
        <f>M56/M61</f>
        <v>7.8125</v>
      </c>
      <c r="O61" s="45"/>
      <c r="P61" s="48"/>
      <c r="Q61" s="4" t="s">
        <v>13</v>
      </c>
      <c r="R61" s="5">
        <v>0.8</v>
      </c>
      <c r="S61" s="5">
        <v>0.9</v>
      </c>
      <c r="T61" s="5">
        <v>1.3</v>
      </c>
      <c r="U61" s="16">
        <v>1.5</v>
      </c>
      <c r="V61" s="5">
        <v>0.9</v>
      </c>
      <c r="W61" s="5">
        <v>10</v>
      </c>
      <c r="X61" s="5">
        <v>0.7</v>
      </c>
      <c r="Y61" s="5">
        <v>13</v>
      </c>
      <c r="Z61" s="16">
        <v>3.2</v>
      </c>
    </row>
    <row r="62" spans="2:27" x14ac:dyDescent="0.2">
      <c r="AA62">
        <f>AVERAGE(AA1:AA61)</f>
        <v>10.025056407664328</v>
      </c>
    </row>
  </sheetData>
  <mergeCells count="24">
    <mergeCell ref="O26:O61"/>
    <mergeCell ref="P26:P31"/>
    <mergeCell ref="P32:P37"/>
    <mergeCell ref="P38:P43"/>
    <mergeCell ref="P44:P49"/>
    <mergeCell ref="P50:P55"/>
    <mergeCell ref="P56:P61"/>
    <mergeCell ref="O2:O25"/>
    <mergeCell ref="P2:P7"/>
    <mergeCell ref="P8:P13"/>
    <mergeCell ref="P14:P19"/>
    <mergeCell ref="P20:P25"/>
    <mergeCell ref="C50:C55"/>
    <mergeCell ref="C56:C61"/>
    <mergeCell ref="B2:B25"/>
    <mergeCell ref="C2:C7"/>
    <mergeCell ref="C8:C13"/>
    <mergeCell ref="C14:C19"/>
    <mergeCell ref="C20:C25"/>
    <mergeCell ref="B26:B61"/>
    <mergeCell ref="C26:C31"/>
    <mergeCell ref="C32:C37"/>
    <mergeCell ref="C38:C43"/>
    <mergeCell ref="C44:C49"/>
  </mergeCells>
  <pageMargins left="0.25" right="0.25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5E5F-25B5-0A45-902F-20152159EE0D}">
  <dimension ref="B11:F19"/>
  <sheetViews>
    <sheetView tabSelected="1" topLeftCell="A6" zoomScale="114" workbookViewId="0">
      <selection activeCell="E18" sqref="E18:E20"/>
    </sheetView>
  </sheetViews>
  <sheetFormatPr baseColWidth="10" defaultRowHeight="16" x14ac:dyDescent="0.2"/>
  <sheetData>
    <row r="11" spans="2:5" x14ac:dyDescent="0.2">
      <c r="C11" t="s">
        <v>149</v>
      </c>
      <c r="D11" t="s">
        <v>150</v>
      </c>
      <c r="E11" t="s">
        <v>153</v>
      </c>
    </row>
    <row r="12" spans="2:5" x14ac:dyDescent="0.2">
      <c r="B12" t="s">
        <v>151</v>
      </c>
      <c r="C12">
        <v>1</v>
      </c>
      <c r="D12">
        <v>1.4</v>
      </c>
      <c r="E12">
        <v>1.4</v>
      </c>
    </row>
    <row r="13" spans="2:5" x14ac:dyDescent="0.2">
      <c r="B13" t="s">
        <v>152</v>
      </c>
      <c r="C13">
        <v>1</v>
      </c>
      <c r="D13">
        <v>1.3</v>
      </c>
      <c r="E13">
        <v>1.3</v>
      </c>
    </row>
    <row r="17" spans="2:6" x14ac:dyDescent="0.2">
      <c r="C17" t="s">
        <v>149</v>
      </c>
      <c r="D17" t="s">
        <v>150</v>
      </c>
      <c r="E17" t="s">
        <v>154</v>
      </c>
      <c r="F17" t="s">
        <v>155</v>
      </c>
    </row>
    <row r="18" spans="2:6" x14ac:dyDescent="0.2">
      <c r="B18" t="s">
        <v>151</v>
      </c>
      <c r="C18">
        <v>1</v>
      </c>
      <c r="D18">
        <v>1</v>
      </c>
      <c r="E18">
        <v>3.2</v>
      </c>
      <c r="F18">
        <v>5.8</v>
      </c>
    </row>
    <row r="19" spans="2:6" x14ac:dyDescent="0.2">
      <c r="B19" t="s">
        <v>152</v>
      </c>
      <c r="C19">
        <v>1</v>
      </c>
      <c r="D19">
        <v>1</v>
      </c>
      <c r="E19">
        <v>2.8</v>
      </c>
      <c r="F19">
        <v>4.9000000000000004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EA5C-F728-A945-BAE0-BBB1C119BE69}">
  <dimension ref="B2:N56"/>
  <sheetViews>
    <sheetView topLeftCell="A22" zoomScale="99" workbookViewId="0">
      <selection activeCell="B11" sqref="B11:I56"/>
    </sheetView>
  </sheetViews>
  <sheetFormatPr baseColWidth="10" defaultRowHeight="16" x14ac:dyDescent="0.2"/>
  <cols>
    <col min="2" max="2" width="19.33203125" customWidth="1"/>
    <col min="3" max="3" width="15.6640625" customWidth="1"/>
    <col min="15" max="15" width="13.6640625" customWidth="1"/>
  </cols>
  <sheetData>
    <row r="2" spans="2:14" x14ac:dyDescent="0.2">
      <c r="B2" t="s">
        <v>96</v>
      </c>
      <c r="D2">
        <v>20</v>
      </c>
      <c r="E2">
        <v>40</v>
      </c>
      <c r="F2">
        <v>60</v>
      </c>
      <c r="G2">
        <v>80</v>
      </c>
      <c r="H2">
        <v>100</v>
      </c>
      <c r="I2">
        <v>200</v>
      </c>
      <c r="J2">
        <v>400</v>
      </c>
      <c r="K2">
        <v>600</v>
      </c>
      <c r="L2">
        <v>800</v>
      </c>
      <c r="M2">
        <v>1000</v>
      </c>
      <c r="N2">
        <v>1200</v>
      </c>
    </row>
    <row r="3" spans="2:14" x14ac:dyDescent="0.2">
      <c r="B3" t="s">
        <v>98</v>
      </c>
      <c r="C3" t="s">
        <v>56</v>
      </c>
      <c r="D3">
        <v>539.99989300000004</v>
      </c>
      <c r="E3">
        <v>529.99989500000004</v>
      </c>
      <c r="F3">
        <v>519.99989700000003</v>
      </c>
      <c r="G3">
        <v>509.99989900000003</v>
      </c>
      <c r="H3">
        <v>499.99990000000003</v>
      </c>
      <c r="I3">
        <v>449.99991</v>
      </c>
      <c r="J3">
        <v>349.99993000000001</v>
      </c>
      <c r="K3">
        <v>249.99995000000001</v>
      </c>
      <c r="L3">
        <v>149.99996999999999</v>
      </c>
      <c r="M3">
        <v>49.999989999999997</v>
      </c>
      <c r="N3">
        <v>0</v>
      </c>
    </row>
    <row r="4" spans="2:14" x14ac:dyDescent="0.2">
      <c r="C4" t="s">
        <v>101</v>
      </c>
      <c r="D4">
        <v>110.435136</v>
      </c>
      <c r="E4">
        <v>100.435157</v>
      </c>
      <c r="F4">
        <v>90.435179000000005</v>
      </c>
      <c r="G4">
        <v>80.435201000000006</v>
      </c>
      <c r="H4">
        <v>70.435222999999993</v>
      </c>
      <c r="I4">
        <v>20.435717</v>
      </c>
      <c r="J4">
        <v>0.198965</v>
      </c>
      <c r="K4">
        <v>0.29844799999999999</v>
      </c>
      <c r="L4">
        <v>0.39793099999999998</v>
      </c>
      <c r="M4">
        <v>0.49741299999999999</v>
      </c>
      <c r="N4">
        <v>0.59689599999999998</v>
      </c>
    </row>
    <row r="5" spans="2:14" x14ac:dyDescent="0.2">
      <c r="C5" t="s">
        <v>102</v>
      </c>
      <c r="D5">
        <v>110.315352</v>
      </c>
      <c r="E5">
        <v>100.315434</v>
      </c>
      <c r="F5">
        <v>90.315515000000005</v>
      </c>
      <c r="G5">
        <v>80.315595999999999</v>
      </c>
      <c r="H5">
        <v>70.315676999999994</v>
      </c>
      <c r="I5">
        <v>20.317623000000001</v>
      </c>
      <c r="J5">
        <v>0.397783</v>
      </c>
      <c r="K5">
        <v>0.59667499999999996</v>
      </c>
      <c r="L5">
        <v>0.79556700000000002</v>
      </c>
      <c r="M5">
        <v>0.99445799999999995</v>
      </c>
      <c r="N5">
        <v>1.1933499999999999</v>
      </c>
    </row>
    <row r="6" spans="2:14" x14ac:dyDescent="0.2">
      <c r="C6" t="s">
        <v>13</v>
      </c>
      <c r="D6">
        <v>105.80875</v>
      </c>
      <c r="E6">
        <v>95.819096999999999</v>
      </c>
      <c r="F6">
        <v>85.829442999999998</v>
      </c>
      <c r="G6">
        <v>75.839788999999996</v>
      </c>
      <c r="H6">
        <v>65.850134999999995</v>
      </c>
      <c r="I6">
        <v>15.901866</v>
      </c>
      <c r="J6">
        <v>0</v>
      </c>
      <c r="K6">
        <v>0</v>
      </c>
      <c r="L6">
        <v>0</v>
      </c>
      <c r="M6">
        <v>0</v>
      </c>
      <c r="N6">
        <v>0</v>
      </c>
    </row>
    <row r="11" spans="2:14" x14ac:dyDescent="0.2">
      <c r="B11" t="s">
        <v>103</v>
      </c>
      <c r="D11" t="s">
        <v>130</v>
      </c>
      <c r="E11" t="s">
        <v>131</v>
      </c>
      <c r="F11" t="s">
        <v>132</v>
      </c>
      <c r="G11" t="s">
        <v>133</v>
      </c>
      <c r="H11">
        <v>1.6</v>
      </c>
      <c r="I11" t="s">
        <v>134</v>
      </c>
    </row>
    <row r="12" spans="2:14" x14ac:dyDescent="0.2">
      <c r="C12" t="s">
        <v>56</v>
      </c>
      <c r="D12">
        <v>499.99990000000003</v>
      </c>
      <c r="E12">
        <v>449.99991</v>
      </c>
      <c r="F12">
        <v>349.99993000000001</v>
      </c>
      <c r="G12">
        <v>149.99996999999999</v>
      </c>
      <c r="H12">
        <v>0.125</v>
      </c>
      <c r="I12">
        <v>0.125</v>
      </c>
    </row>
    <row r="13" spans="2:14" x14ac:dyDescent="0.2">
      <c r="C13" t="s">
        <v>101</v>
      </c>
      <c r="D13">
        <v>70.435222999999993</v>
      </c>
      <c r="E13">
        <v>30.435717</v>
      </c>
      <c r="F13">
        <v>0.59896499999999997</v>
      </c>
      <c r="G13">
        <v>0.39793099999999998</v>
      </c>
      <c r="H13">
        <v>0.79586100000000004</v>
      </c>
      <c r="I13">
        <v>1.591723</v>
      </c>
    </row>
    <row r="14" spans="2:14" x14ac:dyDescent="0.2">
      <c r="C14" t="s">
        <v>102</v>
      </c>
      <c r="D14">
        <v>70.315676999999994</v>
      </c>
      <c r="E14">
        <v>30.317623000000001</v>
      </c>
      <c r="F14">
        <v>1.397783</v>
      </c>
      <c r="G14">
        <v>0.79556700000000002</v>
      </c>
      <c r="H14">
        <v>1.5911329999999999</v>
      </c>
      <c r="I14">
        <v>3.182267</v>
      </c>
    </row>
    <row r="15" spans="2:14" x14ac:dyDescent="0.2">
      <c r="C15" t="s">
        <v>13</v>
      </c>
      <c r="D15">
        <v>65.850134999999995</v>
      </c>
      <c r="E15">
        <v>15.901866</v>
      </c>
      <c r="F15">
        <v>0.125</v>
      </c>
      <c r="G15">
        <v>0.125</v>
      </c>
      <c r="H15">
        <v>0.125</v>
      </c>
      <c r="I15">
        <v>0.125</v>
      </c>
    </row>
    <row r="20" spans="2:9" x14ac:dyDescent="0.2">
      <c r="B20" t="s">
        <v>104</v>
      </c>
      <c r="D20" t="s">
        <v>131</v>
      </c>
      <c r="E20" t="s">
        <v>132</v>
      </c>
      <c r="F20" t="s">
        <v>133</v>
      </c>
      <c r="G20" t="s">
        <v>135</v>
      </c>
      <c r="H20" t="s">
        <v>134</v>
      </c>
      <c r="I20" t="s">
        <v>136</v>
      </c>
    </row>
    <row r="21" spans="2:9" x14ac:dyDescent="0.2">
      <c r="C21" t="s">
        <v>56</v>
      </c>
      <c r="D21">
        <v>2649.9994729999999</v>
      </c>
      <c r="E21">
        <v>2549.9994929999998</v>
      </c>
      <c r="F21">
        <v>2349.9995319999998</v>
      </c>
      <c r="G21">
        <v>1949.9996120000001</v>
      </c>
      <c r="H21">
        <v>1149.999771</v>
      </c>
      <c r="I21">
        <v>0.125</v>
      </c>
    </row>
    <row r="22" spans="2:9" x14ac:dyDescent="0.2">
      <c r="C22" t="s">
        <v>101</v>
      </c>
      <c r="D22">
        <v>315.29371400000002</v>
      </c>
      <c r="E22">
        <v>215.29393200000001</v>
      </c>
      <c r="F22">
        <v>15.304057999999999</v>
      </c>
      <c r="G22">
        <v>0.79586100000000004</v>
      </c>
      <c r="H22">
        <v>1.591723</v>
      </c>
      <c r="I22">
        <v>3.1834449999999999</v>
      </c>
    </row>
    <row r="23" spans="2:9" x14ac:dyDescent="0.2">
      <c r="C23" t="s">
        <v>102</v>
      </c>
      <c r="D23">
        <v>314.881058</v>
      </c>
      <c r="E23">
        <v>214.88186999999999</v>
      </c>
      <c r="F23">
        <v>14.92226</v>
      </c>
      <c r="G23">
        <v>1.5911329999999999</v>
      </c>
      <c r="H23">
        <v>3.182267</v>
      </c>
      <c r="I23">
        <v>6.3645339999999999</v>
      </c>
    </row>
    <row r="24" spans="2:9" x14ac:dyDescent="0.2">
      <c r="C24" t="s">
        <v>13</v>
      </c>
      <c r="D24">
        <v>299.40830399999999</v>
      </c>
      <c r="E24">
        <v>199.51176599999999</v>
      </c>
      <c r="F24">
        <v>0.125</v>
      </c>
      <c r="G24">
        <v>0.125</v>
      </c>
      <c r="H24">
        <v>0.125</v>
      </c>
      <c r="I24">
        <v>0.125</v>
      </c>
    </row>
    <row r="29" spans="2:9" x14ac:dyDescent="0.2">
      <c r="B29" t="s">
        <v>105</v>
      </c>
      <c r="D29" t="s">
        <v>137</v>
      </c>
      <c r="E29" t="s">
        <v>138</v>
      </c>
      <c r="F29" t="s">
        <v>139</v>
      </c>
      <c r="G29" t="s">
        <v>140</v>
      </c>
      <c r="H29" t="s">
        <v>141</v>
      </c>
      <c r="I29" t="s">
        <v>142</v>
      </c>
    </row>
    <row r="30" spans="2:9" x14ac:dyDescent="0.2">
      <c r="C30" t="s">
        <v>56</v>
      </c>
      <c r="D30">
        <v>21499.998677</v>
      </c>
      <c r="E30">
        <v>20499.998737999998</v>
      </c>
      <c r="F30">
        <v>18499.998861</v>
      </c>
      <c r="G30">
        <v>14499.999107</v>
      </c>
      <c r="H30">
        <v>6499.9996000000001</v>
      </c>
      <c r="I30">
        <v>0.125</v>
      </c>
    </row>
    <row r="31" spans="2:9" x14ac:dyDescent="0.2">
      <c r="C31" t="s">
        <v>101</v>
      </c>
      <c r="D31">
        <v>2118.2930379999998</v>
      </c>
      <c r="E31">
        <v>1118.2934560000001</v>
      </c>
      <c r="F31">
        <v>1.230753</v>
      </c>
      <c r="G31">
        <v>2.4615049999999998</v>
      </c>
      <c r="H31">
        <v>4.9230099999999997</v>
      </c>
      <c r="I31">
        <v>9.8460199999999993</v>
      </c>
    </row>
    <row r="32" spans="2:9" x14ac:dyDescent="0.2">
      <c r="C32" t="s">
        <v>102</v>
      </c>
      <c r="D32">
        <v>2117.3338359999998</v>
      </c>
      <c r="E32">
        <v>1117.335323</v>
      </c>
      <c r="F32">
        <v>2.461522</v>
      </c>
      <c r="G32">
        <v>4.9230429999999998</v>
      </c>
      <c r="H32">
        <v>9.8460870000000007</v>
      </c>
      <c r="I32">
        <v>19.692173</v>
      </c>
    </row>
    <row r="33" spans="2:9" x14ac:dyDescent="0.2">
      <c r="C33" t="s">
        <v>13</v>
      </c>
      <c r="D33">
        <v>1998.6415919999999</v>
      </c>
      <c r="E33">
        <v>998.96164999999996</v>
      </c>
      <c r="F33">
        <v>0.125</v>
      </c>
      <c r="G33">
        <v>0.125</v>
      </c>
      <c r="H33">
        <v>0.125</v>
      </c>
      <c r="I33">
        <v>0.125</v>
      </c>
    </row>
    <row r="37" spans="2:9" x14ac:dyDescent="0.2">
      <c r="B37" t="s">
        <v>106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s="24" t="s">
        <v>144</v>
      </c>
    </row>
    <row r="38" spans="2:9" x14ac:dyDescent="0.2">
      <c r="C38" t="s">
        <v>56</v>
      </c>
      <c r="D38">
        <v>82499.994923000006</v>
      </c>
      <c r="E38">
        <v>78499.995169000002</v>
      </c>
      <c r="F38">
        <v>70499.995662000001</v>
      </c>
      <c r="G38">
        <v>54499.996646</v>
      </c>
      <c r="H38">
        <v>22499.998616000001</v>
      </c>
      <c r="I38">
        <v>0.125</v>
      </c>
    </row>
    <row r="39" spans="2:9" x14ac:dyDescent="0.2">
      <c r="C39" t="s">
        <v>101</v>
      </c>
      <c r="D39">
        <v>4315.448437</v>
      </c>
      <c r="E39">
        <v>915.46774300000004</v>
      </c>
      <c r="F39">
        <v>12.92301</v>
      </c>
      <c r="G39">
        <v>9.8460199999999993</v>
      </c>
      <c r="H39">
        <v>19.692039999999999</v>
      </c>
      <c r="I39">
        <v>39.384079999999997</v>
      </c>
    </row>
    <row r="40" spans="2:9" x14ac:dyDescent="0.2">
      <c r="C40" t="s">
        <v>102</v>
      </c>
      <c r="D40">
        <v>4312.8913229999998</v>
      </c>
      <c r="E40">
        <v>912.96782099999996</v>
      </c>
      <c r="F40">
        <v>27.846087000000001</v>
      </c>
      <c r="G40">
        <v>19.692173</v>
      </c>
      <c r="H40">
        <v>39.384346999999998</v>
      </c>
      <c r="I40">
        <v>78.768693999999996</v>
      </c>
    </row>
    <row r="41" spans="2:9" x14ac:dyDescent="0.2">
      <c r="C41" t="s">
        <v>13</v>
      </c>
      <c r="D41">
        <v>3996.804322</v>
      </c>
      <c r="E41">
        <v>0.125</v>
      </c>
      <c r="F41">
        <v>0.125</v>
      </c>
      <c r="G41">
        <v>0.125</v>
      </c>
      <c r="H41">
        <v>0.125</v>
      </c>
      <c r="I41">
        <v>0.125</v>
      </c>
    </row>
    <row r="44" spans="2:9" x14ac:dyDescent="0.2">
      <c r="B44" t="s">
        <v>107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  <c r="I44" s="24" t="s">
        <v>144</v>
      </c>
    </row>
    <row r="45" spans="2:9" x14ac:dyDescent="0.2">
      <c r="C45" t="s">
        <v>56</v>
      </c>
      <c r="D45">
        <v>55999.998776</v>
      </c>
      <c r="E45">
        <v>51999.998864000001</v>
      </c>
      <c r="F45">
        <v>43999.999039000002</v>
      </c>
      <c r="G45">
        <v>27999.999389000001</v>
      </c>
      <c r="H45">
        <v>0.125</v>
      </c>
      <c r="I45">
        <v>0.125</v>
      </c>
    </row>
    <row r="46" spans="2:9" x14ac:dyDescent="0.2">
      <c r="C46" t="s">
        <v>101</v>
      </c>
      <c r="D46">
        <v>4318.7556249999998</v>
      </c>
      <c r="E46">
        <v>1318.7581070000001</v>
      </c>
      <c r="F46">
        <v>80.750539000000003</v>
      </c>
      <c r="G46">
        <v>13.501078</v>
      </c>
      <c r="H46">
        <v>17.002157</v>
      </c>
      <c r="I46">
        <v>24.004313</v>
      </c>
    </row>
    <row r="47" spans="2:9" x14ac:dyDescent="0.2">
      <c r="C47" t="s">
        <v>102</v>
      </c>
      <c r="D47">
        <v>4317.8454879999999</v>
      </c>
      <c r="E47">
        <v>1317.8551620000001</v>
      </c>
      <c r="F47">
        <v>90.501425999999995</v>
      </c>
      <c r="G47">
        <v>17.002852000000001</v>
      </c>
      <c r="H47">
        <v>24.005704000000001</v>
      </c>
      <c r="I47">
        <v>38.011408000000003</v>
      </c>
    </row>
    <row r="48" spans="2:9" x14ac:dyDescent="0.2">
      <c r="C48" t="s">
        <v>13</v>
      </c>
      <c r="D48">
        <v>3999.2235329999999</v>
      </c>
      <c r="E48">
        <v>0.125</v>
      </c>
      <c r="F48">
        <v>0.125</v>
      </c>
      <c r="G48">
        <v>0.125</v>
      </c>
      <c r="H48">
        <v>0.125</v>
      </c>
      <c r="I48">
        <v>0.125</v>
      </c>
    </row>
    <row r="52" spans="2:9" x14ac:dyDescent="0.2">
      <c r="B52" t="s">
        <v>108</v>
      </c>
      <c r="D52" t="s">
        <v>145</v>
      </c>
      <c r="E52" t="s">
        <v>137</v>
      </c>
      <c r="F52" t="s">
        <v>138</v>
      </c>
      <c r="G52" t="s">
        <v>139</v>
      </c>
      <c r="H52" t="s">
        <v>140</v>
      </c>
      <c r="I52" t="s">
        <v>141</v>
      </c>
    </row>
    <row r="53" spans="2:9" x14ac:dyDescent="0.2">
      <c r="C53" t="s">
        <v>56</v>
      </c>
      <c r="D53">
        <v>11999.999733000001</v>
      </c>
      <c r="E53">
        <v>11499.999744000001</v>
      </c>
      <c r="F53">
        <v>10499.999766000001</v>
      </c>
      <c r="G53">
        <v>8499.9998090000008</v>
      </c>
      <c r="H53">
        <v>4499.9998969999997</v>
      </c>
      <c r="I53">
        <v>0.125</v>
      </c>
    </row>
    <row r="54" spans="2:9" x14ac:dyDescent="0.2">
      <c r="C54" t="s">
        <v>101</v>
      </c>
      <c r="D54">
        <v>1059.766668</v>
      </c>
      <c r="E54">
        <v>959.76670200000001</v>
      </c>
      <c r="F54">
        <v>1.218817</v>
      </c>
      <c r="G54">
        <v>0.437635</v>
      </c>
      <c r="H54">
        <v>0.87526999999999999</v>
      </c>
      <c r="I54">
        <v>1.7505390000000001</v>
      </c>
    </row>
    <row r="55" spans="2:9" x14ac:dyDescent="0.2">
      <c r="C55" t="s">
        <v>102</v>
      </c>
      <c r="D55">
        <v>1059.596</v>
      </c>
      <c r="E55">
        <v>959.59609999999998</v>
      </c>
      <c r="F55">
        <v>1.437678</v>
      </c>
      <c r="G55">
        <v>0.87535700000000005</v>
      </c>
      <c r="H55">
        <v>1.750713</v>
      </c>
      <c r="I55">
        <v>3.5014259999999999</v>
      </c>
    </row>
    <row r="56" spans="2:9" x14ac:dyDescent="0.2">
      <c r="C56" t="s">
        <v>13</v>
      </c>
      <c r="D56">
        <v>999.82596100000001</v>
      </c>
      <c r="E56">
        <v>99.882863999999998</v>
      </c>
      <c r="F56">
        <v>0.125</v>
      </c>
      <c r="G56">
        <v>0.125</v>
      </c>
      <c r="H56">
        <v>0.125</v>
      </c>
      <c r="I56">
        <v>0.125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DA78-C2B5-8E4B-B08F-5CAC2BE208B1}">
  <dimension ref="A1"/>
  <sheetViews>
    <sheetView workbookViewId="0">
      <selection sqref="A1:XFD1048576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4F22-4E92-E444-86C3-9945F88C1DED}">
  <dimension ref="A1:K12"/>
  <sheetViews>
    <sheetView workbookViewId="0">
      <selection activeCell="A2" sqref="A2:K12"/>
    </sheetView>
  </sheetViews>
  <sheetFormatPr baseColWidth="10" defaultRowHeight="16" x14ac:dyDescent="0.2"/>
  <cols>
    <col min="1" max="1" width="4.5" customWidth="1"/>
    <col min="2" max="2" width="9.1640625" customWidth="1"/>
  </cols>
  <sheetData>
    <row r="1" spans="1:11" x14ac:dyDescent="0.2">
      <c r="B1" t="s">
        <v>60</v>
      </c>
    </row>
    <row r="2" spans="1:11" x14ac:dyDescent="0.2">
      <c r="A2" s="37"/>
      <c r="B2" s="36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6" t="s">
        <v>9</v>
      </c>
    </row>
    <row r="3" spans="1:11" x14ac:dyDescent="0.2">
      <c r="A3" s="49" t="s">
        <v>60</v>
      </c>
      <c r="B3" s="25" t="s">
        <v>10</v>
      </c>
      <c r="C3" s="27">
        <v>512</v>
      </c>
      <c r="D3" s="27">
        <v>544</v>
      </c>
      <c r="E3" s="27">
        <v>160</v>
      </c>
      <c r="F3" s="27">
        <v>128</v>
      </c>
      <c r="G3" s="27">
        <v>128</v>
      </c>
      <c r="H3" s="27">
        <v>224</v>
      </c>
      <c r="I3" s="27">
        <v>608</v>
      </c>
      <c r="J3" s="27">
        <v>1088</v>
      </c>
      <c r="K3" s="28">
        <v>1152</v>
      </c>
    </row>
    <row r="4" spans="1:11" x14ac:dyDescent="0.2">
      <c r="A4" s="50"/>
      <c r="B4" s="22" t="s">
        <v>14</v>
      </c>
      <c r="C4" s="27">
        <v>2016</v>
      </c>
      <c r="D4" s="27">
        <v>2272</v>
      </c>
      <c r="E4" s="27">
        <v>640</v>
      </c>
      <c r="F4" s="27">
        <v>960</v>
      </c>
      <c r="G4" s="27">
        <v>2336</v>
      </c>
      <c r="H4" s="27">
        <v>608</v>
      </c>
      <c r="I4" s="27">
        <v>736</v>
      </c>
      <c r="J4" s="27">
        <v>640</v>
      </c>
      <c r="K4" s="28">
        <v>6496</v>
      </c>
    </row>
    <row r="5" spans="1:11" x14ac:dyDescent="0.2">
      <c r="A5" s="50"/>
      <c r="B5" s="22" t="s">
        <v>15</v>
      </c>
      <c r="C5" s="29">
        <v>1536</v>
      </c>
      <c r="D5" s="29">
        <v>6880</v>
      </c>
      <c r="E5" s="29">
        <v>416</v>
      </c>
      <c r="F5" s="29">
        <v>160</v>
      </c>
      <c r="G5" s="29">
        <v>6944</v>
      </c>
      <c r="H5" s="29">
        <v>3584</v>
      </c>
      <c r="I5" s="29">
        <v>7264</v>
      </c>
      <c r="J5" s="29">
        <v>7520</v>
      </c>
      <c r="K5" s="30">
        <v>7712</v>
      </c>
    </row>
    <row r="6" spans="1:11" x14ac:dyDescent="0.2">
      <c r="A6" s="51"/>
      <c r="B6" s="13" t="s">
        <v>16</v>
      </c>
      <c r="C6" s="29">
        <v>480</v>
      </c>
      <c r="D6" s="29">
        <v>7168</v>
      </c>
      <c r="E6" s="29">
        <v>128</v>
      </c>
      <c r="F6" s="29">
        <v>96</v>
      </c>
      <c r="G6" s="29">
        <v>608</v>
      </c>
      <c r="H6" s="29">
        <v>480</v>
      </c>
      <c r="I6" s="29">
        <v>1216</v>
      </c>
      <c r="J6" s="29">
        <v>448</v>
      </c>
      <c r="K6" s="30">
        <v>736</v>
      </c>
    </row>
    <row r="7" spans="1:11" x14ac:dyDescent="0.2">
      <c r="A7" s="52" t="s">
        <v>55</v>
      </c>
      <c r="B7" s="25" t="s">
        <v>10</v>
      </c>
      <c r="C7" s="27">
        <v>608</v>
      </c>
      <c r="D7" s="27">
        <v>2592</v>
      </c>
      <c r="E7" s="27">
        <v>160</v>
      </c>
      <c r="F7" s="27">
        <v>194</v>
      </c>
      <c r="G7" s="27">
        <v>2816</v>
      </c>
      <c r="H7" s="27">
        <v>800</v>
      </c>
      <c r="I7" s="27">
        <v>416</v>
      </c>
      <c r="J7" s="27">
        <v>2592</v>
      </c>
      <c r="K7" s="28">
        <v>576</v>
      </c>
    </row>
    <row r="8" spans="1:11" x14ac:dyDescent="0.2">
      <c r="A8" s="53"/>
      <c r="B8" s="22" t="s">
        <v>14</v>
      </c>
      <c r="C8" s="27">
        <v>512</v>
      </c>
      <c r="D8" s="27">
        <v>576</v>
      </c>
      <c r="E8" s="27">
        <v>288</v>
      </c>
      <c r="F8" s="27">
        <v>128</v>
      </c>
      <c r="G8" s="27">
        <v>1312</v>
      </c>
      <c r="H8" s="27">
        <v>640</v>
      </c>
      <c r="I8" s="27">
        <v>544</v>
      </c>
      <c r="J8" s="27">
        <v>1088</v>
      </c>
      <c r="K8" s="28">
        <v>3584</v>
      </c>
    </row>
    <row r="9" spans="1:11" x14ac:dyDescent="0.2">
      <c r="A9" s="53"/>
      <c r="B9" s="22" t="s">
        <v>15</v>
      </c>
      <c r="C9" s="29">
        <v>2944</v>
      </c>
      <c r="D9" s="29">
        <v>4320</v>
      </c>
      <c r="E9" s="29">
        <v>64</v>
      </c>
      <c r="F9" s="29">
        <v>98</v>
      </c>
      <c r="G9" s="29">
        <v>7584</v>
      </c>
      <c r="H9" s="29">
        <v>864</v>
      </c>
      <c r="I9" s="29">
        <v>288</v>
      </c>
      <c r="J9" s="29">
        <v>736</v>
      </c>
      <c r="K9" s="30">
        <v>4064</v>
      </c>
    </row>
    <row r="10" spans="1:11" x14ac:dyDescent="0.2">
      <c r="A10" s="53"/>
      <c r="B10" s="22" t="s">
        <v>16</v>
      </c>
      <c r="C10" s="31">
        <v>576</v>
      </c>
      <c r="D10" s="31">
        <v>512</v>
      </c>
      <c r="E10" s="31">
        <v>160</v>
      </c>
      <c r="F10" s="31">
        <v>160</v>
      </c>
      <c r="G10" s="31">
        <v>736</v>
      </c>
      <c r="H10" s="31">
        <v>704</v>
      </c>
      <c r="I10" s="31">
        <v>992</v>
      </c>
      <c r="J10" s="31">
        <v>704</v>
      </c>
      <c r="K10" s="35">
        <v>832</v>
      </c>
    </row>
    <row r="11" spans="1:11" x14ac:dyDescent="0.2">
      <c r="A11" s="53"/>
      <c r="B11" s="22" t="s">
        <v>21</v>
      </c>
      <c r="C11" s="32">
        <v>1728</v>
      </c>
      <c r="D11" s="32">
        <v>1568</v>
      </c>
      <c r="E11" s="32">
        <v>608</v>
      </c>
      <c r="F11" s="32">
        <v>384</v>
      </c>
      <c r="G11" s="32">
        <v>1632</v>
      </c>
      <c r="H11" s="32">
        <v>1760</v>
      </c>
      <c r="I11" s="32">
        <v>1472</v>
      </c>
      <c r="J11" s="32">
        <v>1504</v>
      </c>
      <c r="K11" s="33">
        <v>1760</v>
      </c>
    </row>
    <row r="12" spans="1:11" x14ac:dyDescent="0.2">
      <c r="A12" s="54"/>
      <c r="B12" s="13" t="s">
        <v>37</v>
      </c>
      <c r="C12" s="15">
        <v>1472</v>
      </c>
      <c r="D12" s="15">
        <v>1600</v>
      </c>
      <c r="E12" s="15">
        <v>480</v>
      </c>
      <c r="F12" s="15">
        <v>288</v>
      </c>
      <c r="G12" s="15">
        <v>1216</v>
      </c>
      <c r="H12" s="15">
        <v>1120</v>
      </c>
      <c r="I12" s="15">
        <v>928</v>
      </c>
      <c r="J12" s="15">
        <v>1600</v>
      </c>
      <c r="K12" s="34">
        <v>1472</v>
      </c>
    </row>
  </sheetData>
  <mergeCells count="2">
    <mergeCell ref="A3:A6"/>
    <mergeCell ref="A7:A12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B46D-0DB1-7044-A739-0C0ED04B05D8}">
  <dimension ref="A5:AD152"/>
  <sheetViews>
    <sheetView topLeftCell="B18" zoomScale="125" zoomScaleNormal="100" workbookViewId="0">
      <selection activeCell="C41" sqref="C41"/>
    </sheetView>
  </sheetViews>
  <sheetFormatPr baseColWidth="10" defaultRowHeight="16" x14ac:dyDescent="0.2"/>
  <cols>
    <col min="2" max="2" width="13.5" customWidth="1"/>
    <col min="10" max="10" width="13.33203125" customWidth="1"/>
  </cols>
  <sheetData>
    <row r="5" spans="2:8" x14ac:dyDescent="0.2">
      <c r="C5">
        <v>100</v>
      </c>
      <c r="D5">
        <v>200</v>
      </c>
      <c r="E5">
        <v>400</v>
      </c>
      <c r="F5">
        <v>800</v>
      </c>
      <c r="G5">
        <v>1600</v>
      </c>
      <c r="H5">
        <v>3200</v>
      </c>
    </row>
    <row r="6" spans="2:8" x14ac:dyDescent="0.2">
      <c r="B6" t="s">
        <v>56</v>
      </c>
      <c r="C6">
        <v>499.99990000000003</v>
      </c>
      <c r="D6">
        <v>449.99991</v>
      </c>
      <c r="E6">
        <v>349.99993000000001</v>
      </c>
      <c r="F6">
        <v>149.99996999999999</v>
      </c>
      <c r="G6">
        <v>0.125</v>
      </c>
      <c r="H6">
        <v>0.125</v>
      </c>
    </row>
    <row r="7" spans="2:8" x14ac:dyDescent="0.2">
      <c r="B7" t="s">
        <v>101</v>
      </c>
      <c r="C7">
        <v>70.435222999999993</v>
      </c>
      <c r="D7">
        <v>30.435717</v>
      </c>
      <c r="E7">
        <v>0.59896499999999997</v>
      </c>
      <c r="F7">
        <v>0.39793099999999998</v>
      </c>
      <c r="G7">
        <v>0.79586100000000004</v>
      </c>
      <c r="H7">
        <v>1.591723</v>
      </c>
    </row>
    <row r="8" spans="2:8" x14ac:dyDescent="0.2">
      <c r="B8" t="s">
        <v>102</v>
      </c>
      <c r="C8">
        <v>70.315676999999994</v>
      </c>
      <c r="D8">
        <v>30.317623000000001</v>
      </c>
      <c r="E8">
        <v>1.397783</v>
      </c>
      <c r="F8">
        <v>0.79556700000000002</v>
      </c>
      <c r="G8">
        <v>1.5911329999999999</v>
      </c>
      <c r="H8">
        <v>3.182267</v>
      </c>
    </row>
    <row r="9" spans="2:8" x14ac:dyDescent="0.2">
      <c r="B9" t="s">
        <v>13</v>
      </c>
      <c r="C9">
        <v>65.850134999999995</v>
      </c>
      <c r="D9">
        <v>15.901866</v>
      </c>
      <c r="E9">
        <v>0.125</v>
      </c>
      <c r="F9">
        <v>0.125</v>
      </c>
      <c r="G9">
        <v>0.125</v>
      </c>
      <c r="H9">
        <v>0.125</v>
      </c>
    </row>
    <row r="13" spans="2:8" x14ac:dyDescent="0.2">
      <c r="C13">
        <v>100</v>
      </c>
      <c r="D13">
        <v>200</v>
      </c>
      <c r="E13">
        <v>400</v>
      </c>
      <c r="F13">
        <v>800</v>
      </c>
      <c r="G13">
        <v>1600</v>
      </c>
      <c r="H13">
        <v>3200</v>
      </c>
    </row>
    <row r="14" spans="2:8" x14ac:dyDescent="0.2">
      <c r="B14" t="s">
        <v>56</v>
      </c>
      <c r="C14">
        <v>499.99990000000003</v>
      </c>
      <c r="D14">
        <v>449.99991</v>
      </c>
      <c r="E14">
        <v>349.99993000000001</v>
      </c>
      <c r="F14">
        <v>149.99996999999999</v>
      </c>
      <c r="G14">
        <v>0</v>
      </c>
      <c r="H14">
        <v>0</v>
      </c>
    </row>
    <row r="15" spans="2:8" x14ac:dyDescent="0.2">
      <c r="B15" t="s">
        <v>119</v>
      </c>
      <c r="C15">
        <v>1959.131208</v>
      </c>
      <c r="D15">
        <v>1909.1312190000001</v>
      </c>
      <c r="E15">
        <v>1809.1312390000001</v>
      </c>
      <c r="F15">
        <v>1609.1312800000001</v>
      </c>
      <c r="G15">
        <v>1209.131363</v>
      </c>
      <c r="H15">
        <v>409.13154400000002</v>
      </c>
    </row>
    <row r="16" spans="2:8" x14ac:dyDescent="0.2">
      <c r="B16" t="s">
        <v>120</v>
      </c>
      <c r="C16">
        <v>552.65540499999997</v>
      </c>
      <c r="D16">
        <v>502.655418</v>
      </c>
      <c r="E16">
        <v>402.65544599999998</v>
      </c>
      <c r="F16">
        <v>202.655518</v>
      </c>
      <c r="G16">
        <v>0.15904499999999999</v>
      </c>
      <c r="H16">
        <v>0.31809100000000001</v>
      </c>
    </row>
    <row r="17" spans="2:18" x14ac:dyDescent="0.2">
      <c r="B17" t="s">
        <v>101</v>
      </c>
      <c r="C17">
        <v>70.435222999999993</v>
      </c>
      <c r="D17">
        <v>30.435717</v>
      </c>
      <c r="E17">
        <v>0.59896499999999997</v>
      </c>
      <c r="F17">
        <v>0.39793099999999998</v>
      </c>
      <c r="G17">
        <v>0.79586100000000004</v>
      </c>
      <c r="H17">
        <v>1.591723</v>
      </c>
    </row>
    <row r="18" spans="2:18" x14ac:dyDescent="0.2">
      <c r="B18" t="s">
        <v>102</v>
      </c>
      <c r="C18">
        <v>70.315676999999994</v>
      </c>
      <c r="D18">
        <v>30.317623000000001</v>
      </c>
      <c r="E18">
        <v>1.397783</v>
      </c>
      <c r="F18">
        <v>0.79556700000000002</v>
      </c>
      <c r="G18">
        <v>1.5911329999999999</v>
      </c>
      <c r="H18">
        <v>3.182267</v>
      </c>
    </row>
    <row r="21" spans="2:18" x14ac:dyDescent="0.2">
      <c r="C21">
        <v>3200</v>
      </c>
      <c r="D21">
        <v>1600</v>
      </c>
      <c r="E21">
        <v>800</v>
      </c>
      <c r="F21">
        <v>400</v>
      </c>
      <c r="G21">
        <v>200</v>
      </c>
      <c r="H21">
        <v>100</v>
      </c>
    </row>
    <row r="22" spans="2:18" x14ac:dyDescent="0.2">
      <c r="B22" t="s">
        <v>56</v>
      </c>
      <c r="C22">
        <v>0.125</v>
      </c>
      <c r="D22">
        <v>0.125</v>
      </c>
      <c r="E22">
        <v>149.99996999999999</v>
      </c>
      <c r="F22">
        <v>349.99993000000001</v>
      </c>
      <c r="G22">
        <v>449.99991</v>
      </c>
      <c r="H22">
        <v>499.99990000000003</v>
      </c>
    </row>
    <row r="23" spans="2:18" x14ac:dyDescent="0.2">
      <c r="B23" t="s">
        <v>119</v>
      </c>
      <c r="C23">
        <v>409.13154400000002</v>
      </c>
      <c r="D23">
        <v>1209.131363</v>
      </c>
      <c r="E23">
        <v>1609.1312800000001</v>
      </c>
      <c r="F23">
        <v>1809.1312390000001</v>
      </c>
      <c r="G23">
        <v>1909.1312190000001</v>
      </c>
      <c r="H23">
        <v>1959.131208</v>
      </c>
    </row>
    <row r="24" spans="2:18" x14ac:dyDescent="0.2">
      <c r="B24" t="s">
        <v>120</v>
      </c>
      <c r="C24">
        <v>1.3180909999999999</v>
      </c>
      <c r="D24">
        <v>0.95904500000000004</v>
      </c>
      <c r="E24">
        <v>202.655518</v>
      </c>
      <c r="F24">
        <v>402.65544599999998</v>
      </c>
      <c r="G24">
        <v>502.655418</v>
      </c>
      <c r="H24">
        <v>552.65540499999997</v>
      </c>
    </row>
    <row r="25" spans="2:18" x14ac:dyDescent="0.2">
      <c r="B25" t="s">
        <v>101</v>
      </c>
      <c r="C25">
        <v>2.591723</v>
      </c>
      <c r="D25">
        <v>1.7958609999999999</v>
      </c>
      <c r="E25">
        <v>0.39793099999999998</v>
      </c>
      <c r="F25">
        <v>0.59896499999999997</v>
      </c>
      <c r="G25">
        <v>20.435717</v>
      </c>
      <c r="H25">
        <v>30.435223000000001</v>
      </c>
    </row>
    <row r="26" spans="2:18" x14ac:dyDescent="0.2">
      <c r="B26" t="s">
        <v>102</v>
      </c>
      <c r="C26">
        <v>4.1822670000000004</v>
      </c>
      <c r="D26">
        <v>1.991133</v>
      </c>
      <c r="E26">
        <v>0.79556700000000002</v>
      </c>
      <c r="F26">
        <v>1.397783</v>
      </c>
      <c r="G26">
        <v>20.317623000000001</v>
      </c>
      <c r="H26">
        <v>30.315677000000001</v>
      </c>
    </row>
    <row r="27" spans="2:18" x14ac:dyDescent="0.2">
      <c r="B27" t="s">
        <v>121</v>
      </c>
      <c r="C27">
        <v>0.125</v>
      </c>
      <c r="D27">
        <v>0.125</v>
      </c>
      <c r="E27">
        <v>0.125</v>
      </c>
      <c r="F27">
        <v>0.125</v>
      </c>
      <c r="G27">
        <v>15.901866</v>
      </c>
      <c r="H27">
        <v>30.850135000000002</v>
      </c>
    </row>
    <row r="28" spans="2:18" x14ac:dyDescent="0.2">
      <c r="K28">
        <v>64000</v>
      </c>
      <c r="L28">
        <v>3200</v>
      </c>
      <c r="M28">
        <v>1600</v>
      </c>
      <c r="N28">
        <v>800</v>
      </c>
      <c r="O28">
        <v>400</v>
      </c>
      <c r="P28">
        <v>200</v>
      </c>
      <c r="Q28">
        <v>100</v>
      </c>
    </row>
    <row r="29" spans="2:18" x14ac:dyDescent="0.2">
      <c r="K29">
        <v>64</v>
      </c>
      <c r="L29">
        <v>3.2</v>
      </c>
      <c r="M29">
        <v>1.6</v>
      </c>
      <c r="N29">
        <v>0.8</v>
      </c>
      <c r="O29">
        <v>0.4</v>
      </c>
      <c r="P29">
        <v>0.2</v>
      </c>
    </row>
    <row r="30" spans="2:18" x14ac:dyDescent="0.2">
      <c r="K30">
        <f>5024860/K29</f>
        <v>78513.4375</v>
      </c>
      <c r="L30">
        <f t="shared" ref="L30:P30" si="0">5024860/L29</f>
        <v>1570268.75</v>
      </c>
      <c r="M30">
        <f t="shared" si="0"/>
        <v>3140537.5</v>
      </c>
      <c r="N30">
        <f t="shared" si="0"/>
        <v>6281075</v>
      </c>
      <c r="O30">
        <f t="shared" si="0"/>
        <v>12562150</v>
      </c>
      <c r="P30">
        <f t="shared" si="0"/>
        <v>25124300</v>
      </c>
      <c r="R30" t="s">
        <v>104</v>
      </c>
    </row>
    <row r="31" spans="2:18" x14ac:dyDescent="0.2">
      <c r="B31" t="s">
        <v>156</v>
      </c>
      <c r="C31" t="s">
        <v>127</v>
      </c>
      <c r="D31" t="s">
        <v>126</v>
      </c>
      <c r="E31" t="s">
        <v>125</v>
      </c>
      <c r="F31" t="s">
        <v>124</v>
      </c>
      <c r="G31" t="s">
        <v>123</v>
      </c>
      <c r="H31" t="s">
        <v>122</v>
      </c>
      <c r="J31" t="s">
        <v>157</v>
      </c>
      <c r="K31" t="s">
        <v>163</v>
      </c>
      <c r="L31" t="s">
        <v>162</v>
      </c>
      <c r="M31" t="s">
        <v>161</v>
      </c>
      <c r="N31" t="s">
        <v>160</v>
      </c>
      <c r="O31" t="s">
        <v>159</v>
      </c>
      <c r="P31" t="s">
        <v>158</v>
      </c>
    </row>
    <row r="32" spans="2:18" x14ac:dyDescent="0.2">
      <c r="B32" t="s">
        <v>119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J32" t="s">
        <v>119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2:30" x14ac:dyDescent="0.2">
      <c r="B33" t="s">
        <v>120</v>
      </c>
      <c r="C33">
        <v>1</v>
      </c>
      <c r="D33">
        <v>2</v>
      </c>
      <c r="E33">
        <v>5</v>
      </c>
      <c r="F33">
        <v>10</v>
      </c>
      <c r="G33">
        <v>22</v>
      </c>
      <c r="H33">
        <v>22</v>
      </c>
      <c r="J33" t="s">
        <v>120</v>
      </c>
      <c r="K33">
        <v>1</v>
      </c>
      <c r="L33">
        <v>3</v>
      </c>
      <c r="M33">
        <v>8</v>
      </c>
      <c r="N33">
        <v>17</v>
      </c>
      <c r="O33">
        <v>22</v>
      </c>
      <c r="P33">
        <v>22</v>
      </c>
    </row>
    <row r="34" spans="2:30" x14ac:dyDescent="0.2">
      <c r="B34" t="s">
        <v>101</v>
      </c>
      <c r="C34">
        <v>6</v>
      </c>
      <c r="D34">
        <v>12</v>
      </c>
      <c r="E34">
        <v>25</v>
      </c>
      <c r="F34">
        <v>50</v>
      </c>
      <c r="G34">
        <v>100</v>
      </c>
      <c r="H34">
        <v>100</v>
      </c>
      <c r="J34" t="s">
        <v>101</v>
      </c>
      <c r="K34">
        <v>4</v>
      </c>
      <c r="L34">
        <v>9</v>
      </c>
      <c r="M34">
        <v>22</v>
      </c>
      <c r="N34">
        <v>47</v>
      </c>
      <c r="O34">
        <v>100</v>
      </c>
      <c r="P34">
        <v>100</v>
      </c>
    </row>
    <row r="35" spans="2:30" x14ac:dyDescent="0.2">
      <c r="B35" t="s">
        <v>102</v>
      </c>
      <c r="C35">
        <v>2</v>
      </c>
      <c r="D35">
        <v>6</v>
      </c>
      <c r="E35">
        <v>12</v>
      </c>
      <c r="F35">
        <v>27</v>
      </c>
      <c r="G35">
        <v>100</v>
      </c>
      <c r="H35">
        <v>100</v>
      </c>
      <c r="J35" t="s">
        <v>102</v>
      </c>
      <c r="K35">
        <v>2</v>
      </c>
      <c r="L35">
        <v>3</v>
      </c>
      <c r="M35">
        <v>6</v>
      </c>
      <c r="N35">
        <v>15</v>
      </c>
      <c r="O35">
        <v>100</v>
      </c>
      <c r="P35">
        <v>100</v>
      </c>
    </row>
    <row r="36" spans="2:30" x14ac:dyDescent="0.2">
      <c r="B36" t="s">
        <v>13</v>
      </c>
      <c r="C36">
        <v>8</v>
      </c>
      <c r="D36">
        <v>16</v>
      </c>
      <c r="E36">
        <v>35</v>
      </c>
      <c r="F36">
        <v>72</v>
      </c>
      <c r="G36">
        <v>100</v>
      </c>
      <c r="H36">
        <v>100</v>
      </c>
      <c r="J36" t="s">
        <v>13</v>
      </c>
      <c r="K36">
        <v>9</v>
      </c>
      <c r="L36">
        <v>18</v>
      </c>
      <c r="M36">
        <v>41</v>
      </c>
      <c r="N36">
        <v>89</v>
      </c>
      <c r="O36">
        <v>100</v>
      </c>
      <c r="P36">
        <v>100</v>
      </c>
      <c r="T36" t="s">
        <v>136</v>
      </c>
      <c r="U36" t="s">
        <v>134</v>
      </c>
      <c r="V36" t="s">
        <v>135</v>
      </c>
      <c r="W36" t="s">
        <v>133</v>
      </c>
      <c r="X36" t="s">
        <v>132</v>
      </c>
      <c r="Y36" t="s">
        <v>131</v>
      </c>
    </row>
    <row r="37" spans="2:30" x14ac:dyDescent="0.2">
      <c r="S37" t="s">
        <v>56</v>
      </c>
      <c r="T37">
        <v>0.125</v>
      </c>
      <c r="U37">
        <v>1149.999771</v>
      </c>
      <c r="V37">
        <v>1949.9996120000001</v>
      </c>
      <c r="W37">
        <v>2349.9995319999998</v>
      </c>
      <c r="X37">
        <v>2549.9994929999998</v>
      </c>
      <c r="Y37">
        <v>2649.9994729999999</v>
      </c>
    </row>
    <row r="38" spans="2:30" x14ac:dyDescent="0.2">
      <c r="S38" t="s">
        <v>101</v>
      </c>
      <c r="T38">
        <v>3.1834449999999999</v>
      </c>
      <c r="U38">
        <v>1.591723</v>
      </c>
      <c r="V38">
        <v>0.79586100000000004</v>
      </c>
      <c r="W38">
        <v>15.304057999999999</v>
      </c>
      <c r="X38">
        <v>215.29393200000001</v>
      </c>
      <c r="Y38">
        <v>315.29371400000002</v>
      </c>
    </row>
    <row r="39" spans="2:30" x14ac:dyDescent="0.2">
      <c r="C39">
        <v>102400</v>
      </c>
      <c r="D39">
        <v>51200</v>
      </c>
      <c r="E39" s="24">
        <v>25600</v>
      </c>
      <c r="F39" s="24">
        <v>12800</v>
      </c>
      <c r="G39" s="24">
        <v>6400</v>
      </c>
      <c r="H39">
        <v>3200</v>
      </c>
      <c r="I39">
        <v>1600</v>
      </c>
      <c r="J39">
        <v>800</v>
      </c>
      <c r="K39">
        <v>400</v>
      </c>
      <c r="L39">
        <v>200</v>
      </c>
      <c r="M39">
        <v>100</v>
      </c>
      <c r="X39" t="s">
        <v>102</v>
      </c>
      <c r="Y39">
        <v>6.3645339999999999</v>
      </c>
      <c r="Z39">
        <v>3.182267</v>
      </c>
      <c r="AA39">
        <v>1.5911329999999999</v>
      </c>
      <c r="AB39">
        <v>14.92226</v>
      </c>
      <c r="AC39">
        <v>214.88186999999999</v>
      </c>
      <c r="AD39">
        <v>314.881058</v>
      </c>
    </row>
    <row r="40" spans="2:30" x14ac:dyDescent="0.2">
      <c r="X40" t="s">
        <v>13</v>
      </c>
      <c r="Y40">
        <v>0.125</v>
      </c>
      <c r="Z40">
        <v>0.125</v>
      </c>
      <c r="AA40">
        <v>0.125</v>
      </c>
      <c r="AB40">
        <v>0.125</v>
      </c>
      <c r="AC40">
        <v>199.51176599999999</v>
      </c>
      <c r="AD40">
        <v>299.40830399999999</v>
      </c>
    </row>
    <row r="41" spans="2:30" x14ac:dyDescent="0.2">
      <c r="C41">
        <f t="shared" ref="C41:G41" si="1" xml:space="preserve"> 5024860/C39</f>
        <v>49.070898437499999</v>
      </c>
      <c r="D41">
        <f t="shared" si="1"/>
        <v>98.141796874999997</v>
      </c>
      <c r="E41">
        <f t="shared" si="1"/>
        <v>196.28359374999999</v>
      </c>
      <c r="F41">
        <f t="shared" si="1"/>
        <v>392.56718749999999</v>
      </c>
      <c r="G41">
        <f t="shared" si="1"/>
        <v>785.13437499999998</v>
      </c>
      <c r="H41">
        <f xml:space="preserve"> 5024860/H39</f>
        <v>1570.26875</v>
      </c>
      <c r="I41">
        <f t="shared" ref="I41:L41" si="2" xml:space="preserve"> 5024860/I39</f>
        <v>3140.5374999999999</v>
      </c>
      <c r="J41">
        <f t="shared" si="2"/>
        <v>6281.0749999999998</v>
      </c>
      <c r="K41">
        <f t="shared" si="2"/>
        <v>12562.15</v>
      </c>
      <c r="L41">
        <f t="shared" si="2"/>
        <v>25124.3</v>
      </c>
      <c r="M41">
        <f xml:space="preserve"> 5024860/M39</f>
        <v>50248.6</v>
      </c>
    </row>
    <row r="42" spans="2:30" x14ac:dyDescent="0.2">
      <c r="C42" t="s">
        <v>168</v>
      </c>
      <c r="D42" t="s">
        <v>130</v>
      </c>
      <c r="E42" t="s">
        <v>131</v>
      </c>
      <c r="F42" t="s">
        <v>132</v>
      </c>
      <c r="G42" t="s">
        <v>167</v>
      </c>
      <c r="H42" t="s">
        <v>127</v>
      </c>
      <c r="I42" t="s">
        <v>126</v>
      </c>
      <c r="J42" t="s">
        <v>125</v>
      </c>
      <c r="K42" t="s">
        <v>124</v>
      </c>
      <c r="L42" t="s">
        <v>123</v>
      </c>
      <c r="M42" t="s">
        <v>122</v>
      </c>
    </row>
    <row r="43" spans="2:30" x14ac:dyDescent="0.2">
      <c r="B43" t="s">
        <v>165</v>
      </c>
      <c r="C43">
        <v>1.2940389999999999</v>
      </c>
      <c r="D43">
        <v>0.64702000000000004</v>
      </c>
      <c r="E43">
        <v>0.32351000000000002</v>
      </c>
      <c r="F43">
        <v>0.16175500000000001</v>
      </c>
      <c r="G43">
        <v>1509.063079</v>
      </c>
      <c r="H43">
        <v>3109.0627559999998</v>
      </c>
      <c r="I43">
        <v>3909.0625960000002</v>
      </c>
      <c r="J43">
        <v>4309.062516</v>
      </c>
      <c r="K43">
        <v>4509.0624760000001</v>
      </c>
      <c r="L43">
        <v>4609.0624559999997</v>
      </c>
      <c r="M43">
        <v>4659.0624459999999</v>
      </c>
    </row>
    <row r="44" spans="2:30" x14ac:dyDescent="0.2">
      <c r="B44" t="s">
        <v>164</v>
      </c>
      <c r="C44">
        <v>41.719361999999997</v>
      </c>
      <c r="D44">
        <v>20.859680999999998</v>
      </c>
      <c r="E44">
        <v>10.42984</v>
      </c>
      <c r="F44">
        <v>5.2149200000000002</v>
      </c>
      <c r="G44">
        <v>2.6074600000000001</v>
      </c>
      <c r="H44">
        <v>1.3037300000000001</v>
      </c>
      <c r="I44">
        <v>0.65186500000000003</v>
      </c>
      <c r="J44">
        <v>0.32593299999999997</v>
      </c>
      <c r="K44">
        <v>0.162966</v>
      </c>
      <c r="L44">
        <v>47.042239000000002</v>
      </c>
      <c r="M44">
        <v>97.042085</v>
      </c>
      <c r="N44">
        <f>H44/H45</f>
        <v>10.42984</v>
      </c>
    </row>
    <row r="45" spans="2:30" x14ac:dyDescent="0.2">
      <c r="B45" t="s">
        <v>166</v>
      </c>
      <c r="C45">
        <v>0.125</v>
      </c>
      <c r="D45">
        <v>0.125</v>
      </c>
      <c r="E45">
        <v>0.125</v>
      </c>
      <c r="F45">
        <v>0.125</v>
      </c>
      <c r="G45">
        <v>0.125</v>
      </c>
      <c r="H45">
        <v>0.125</v>
      </c>
      <c r="I45">
        <v>0.125</v>
      </c>
      <c r="J45">
        <v>0.125</v>
      </c>
      <c r="K45">
        <v>0.125</v>
      </c>
      <c r="L45">
        <v>15.901866</v>
      </c>
      <c r="M45">
        <v>30.350135000000002</v>
      </c>
    </row>
    <row r="46" spans="2:30" x14ac:dyDescent="0.2">
      <c r="B46" t="s">
        <v>129</v>
      </c>
      <c r="H46">
        <v>0.125</v>
      </c>
      <c r="I46">
        <v>0.125</v>
      </c>
      <c r="J46">
        <v>149.99996999999999</v>
      </c>
      <c r="K46">
        <v>349.99993000000001</v>
      </c>
      <c r="L46">
        <v>449.99991</v>
      </c>
      <c r="M46">
        <v>499.99990000000003</v>
      </c>
    </row>
    <row r="52" spans="1:6" x14ac:dyDescent="0.2">
      <c r="C52" t="s">
        <v>165</v>
      </c>
      <c r="D52" t="s">
        <v>164</v>
      </c>
      <c r="E52" t="s">
        <v>166</v>
      </c>
      <c r="F52" t="s">
        <v>128</v>
      </c>
    </row>
    <row r="53" spans="1:6" x14ac:dyDescent="0.2">
      <c r="A53">
        <v>1</v>
      </c>
      <c r="B53">
        <f>A53*11</f>
        <v>11</v>
      </c>
      <c r="C53">
        <f ca="1">RANDBETWEEN(150, 240)/100</f>
        <v>1.89</v>
      </c>
      <c r="D53">
        <v>1</v>
      </c>
      <c r="E53">
        <f ca="1">RANDBETWEEN(65, 75)</f>
        <v>69</v>
      </c>
      <c r="F53">
        <v>0</v>
      </c>
    </row>
    <row r="54" spans="1:6" x14ac:dyDescent="0.2">
      <c r="A54">
        <v>2</v>
      </c>
      <c r="B54">
        <f t="shared" ref="B54:B117" si="3">A54*11</f>
        <v>22</v>
      </c>
      <c r="C54">
        <f t="shared" ref="C54:C117" ca="1" si="4">RANDBETWEEN(150, 240)/100</f>
        <v>1.52</v>
      </c>
      <c r="D54">
        <v>1</v>
      </c>
      <c r="E54">
        <f t="shared" ref="E54:E117" ca="1" si="5">RANDBETWEEN(65, 75)</f>
        <v>66</v>
      </c>
      <c r="F54">
        <v>0</v>
      </c>
    </row>
    <row r="55" spans="1:6" x14ac:dyDescent="0.2">
      <c r="A55">
        <v>3</v>
      </c>
      <c r="B55">
        <f t="shared" si="3"/>
        <v>33</v>
      </c>
      <c r="C55">
        <f t="shared" ca="1" si="4"/>
        <v>2.08</v>
      </c>
      <c r="D55">
        <v>1</v>
      </c>
      <c r="E55">
        <f t="shared" ca="1" si="5"/>
        <v>71</v>
      </c>
      <c r="F55">
        <v>0</v>
      </c>
    </row>
    <row r="56" spans="1:6" x14ac:dyDescent="0.2">
      <c r="A56">
        <v>4</v>
      </c>
      <c r="B56">
        <f t="shared" si="3"/>
        <v>44</v>
      </c>
      <c r="C56">
        <f t="shared" ca="1" si="4"/>
        <v>2.04</v>
      </c>
      <c r="D56">
        <v>1</v>
      </c>
      <c r="E56">
        <f t="shared" ca="1" si="5"/>
        <v>70</v>
      </c>
      <c r="F56">
        <v>0</v>
      </c>
    </row>
    <row r="57" spans="1:6" x14ac:dyDescent="0.2">
      <c r="A57">
        <v>5</v>
      </c>
      <c r="B57">
        <f t="shared" si="3"/>
        <v>55</v>
      </c>
      <c r="C57">
        <f t="shared" ca="1" si="4"/>
        <v>2.37</v>
      </c>
      <c r="D57">
        <v>1</v>
      </c>
      <c r="E57">
        <f t="shared" ca="1" si="5"/>
        <v>72</v>
      </c>
      <c r="F57">
        <v>0</v>
      </c>
    </row>
    <row r="58" spans="1:6" x14ac:dyDescent="0.2">
      <c r="A58">
        <v>6</v>
      </c>
      <c r="B58">
        <f t="shared" si="3"/>
        <v>66</v>
      </c>
      <c r="C58">
        <f t="shared" ca="1" si="4"/>
        <v>2.23</v>
      </c>
      <c r="D58">
        <v>1</v>
      </c>
      <c r="E58">
        <f t="shared" ca="1" si="5"/>
        <v>70</v>
      </c>
      <c r="F58">
        <v>0</v>
      </c>
    </row>
    <row r="59" spans="1:6" x14ac:dyDescent="0.2">
      <c r="A59">
        <v>7</v>
      </c>
      <c r="B59">
        <f t="shared" si="3"/>
        <v>77</v>
      </c>
      <c r="C59">
        <f t="shared" ca="1" si="4"/>
        <v>1.63</v>
      </c>
      <c r="D59">
        <v>1</v>
      </c>
      <c r="E59">
        <f t="shared" ca="1" si="5"/>
        <v>74</v>
      </c>
      <c r="F59">
        <v>0</v>
      </c>
    </row>
    <row r="60" spans="1:6" x14ac:dyDescent="0.2">
      <c r="A60">
        <v>8</v>
      </c>
      <c r="B60">
        <f t="shared" si="3"/>
        <v>88</v>
      </c>
      <c r="C60">
        <f t="shared" ca="1" si="4"/>
        <v>2.33</v>
      </c>
      <c r="D60">
        <v>1</v>
      </c>
      <c r="E60">
        <f t="shared" ca="1" si="5"/>
        <v>69</v>
      </c>
      <c r="F60">
        <v>0</v>
      </c>
    </row>
    <row r="61" spans="1:6" x14ac:dyDescent="0.2">
      <c r="A61">
        <v>9</v>
      </c>
      <c r="B61">
        <f t="shared" si="3"/>
        <v>99</v>
      </c>
      <c r="C61">
        <f t="shared" ca="1" si="4"/>
        <v>1.99</v>
      </c>
      <c r="D61">
        <v>1</v>
      </c>
      <c r="E61">
        <f t="shared" ca="1" si="5"/>
        <v>69</v>
      </c>
      <c r="F61">
        <v>0</v>
      </c>
    </row>
    <row r="62" spans="1:6" x14ac:dyDescent="0.2">
      <c r="A62">
        <v>10</v>
      </c>
      <c r="B62">
        <f t="shared" si="3"/>
        <v>110</v>
      </c>
      <c r="C62">
        <f t="shared" ca="1" si="4"/>
        <v>2.17</v>
      </c>
      <c r="D62">
        <v>1</v>
      </c>
      <c r="E62">
        <f t="shared" ca="1" si="5"/>
        <v>66</v>
      </c>
      <c r="F62">
        <v>0</v>
      </c>
    </row>
    <row r="63" spans="1:6" x14ac:dyDescent="0.2">
      <c r="A63">
        <v>11</v>
      </c>
      <c r="B63">
        <f t="shared" si="3"/>
        <v>121</v>
      </c>
      <c r="C63">
        <f t="shared" ca="1" si="4"/>
        <v>2.36</v>
      </c>
      <c r="D63">
        <v>1</v>
      </c>
      <c r="E63">
        <f t="shared" ca="1" si="5"/>
        <v>69</v>
      </c>
      <c r="F63">
        <v>0</v>
      </c>
    </row>
    <row r="64" spans="1:6" x14ac:dyDescent="0.2">
      <c r="A64">
        <v>12</v>
      </c>
      <c r="B64">
        <f t="shared" si="3"/>
        <v>132</v>
      </c>
      <c r="C64">
        <f t="shared" ca="1" si="4"/>
        <v>1.78</v>
      </c>
      <c r="D64">
        <v>1</v>
      </c>
      <c r="E64">
        <f t="shared" ca="1" si="5"/>
        <v>73</v>
      </c>
      <c r="F64">
        <v>0</v>
      </c>
    </row>
    <row r="65" spans="1:6" x14ac:dyDescent="0.2">
      <c r="A65">
        <v>13</v>
      </c>
      <c r="B65">
        <f t="shared" si="3"/>
        <v>143</v>
      </c>
      <c r="C65">
        <f t="shared" ca="1" si="4"/>
        <v>1.83</v>
      </c>
      <c r="D65">
        <v>1</v>
      </c>
      <c r="E65">
        <f t="shared" ca="1" si="5"/>
        <v>70</v>
      </c>
      <c r="F65">
        <v>0</v>
      </c>
    </row>
    <row r="66" spans="1:6" x14ac:dyDescent="0.2">
      <c r="A66">
        <v>14</v>
      </c>
      <c r="B66">
        <f t="shared" si="3"/>
        <v>154</v>
      </c>
      <c r="C66">
        <f t="shared" ca="1" si="4"/>
        <v>2.2799999999999998</v>
      </c>
      <c r="D66">
        <v>1</v>
      </c>
      <c r="E66">
        <f t="shared" ca="1" si="5"/>
        <v>66</v>
      </c>
      <c r="F66">
        <v>0</v>
      </c>
    </row>
    <row r="67" spans="1:6" x14ac:dyDescent="0.2">
      <c r="A67">
        <v>15</v>
      </c>
      <c r="B67">
        <f t="shared" si="3"/>
        <v>165</v>
      </c>
      <c r="C67">
        <f t="shared" ca="1" si="4"/>
        <v>1.81</v>
      </c>
      <c r="D67">
        <v>1</v>
      </c>
      <c r="E67">
        <f t="shared" ca="1" si="5"/>
        <v>74</v>
      </c>
      <c r="F67">
        <v>0</v>
      </c>
    </row>
    <row r="68" spans="1:6" x14ac:dyDescent="0.2">
      <c r="A68">
        <v>16</v>
      </c>
      <c r="B68">
        <f t="shared" si="3"/>
        <v>176</v>
      </c>
      <c r="C68">
        <f t="shared" ca="1" si="4"/>
        <v>1.73</v>
      </c>
      <c r="D68">
        <v>1</v>
      </c>
      <c r="E68">
        <f t="shared" ca="1" si="5"/>
        <v>70</v>
      </c>
      <c r="F68">
        <v>0</v>
      </c>
    </row>
    <row r="69" spans="1:6" x14ac:dyDescent="0.2">
      <c r="A69">
        <v>17</v>
      </c>
      <c r="B69">
        <f t="shared" si="3"/>
        <v>187</v>
      </c>
      <c r="C69">
        <f t="shared" ca="1" si="4"/>
        <v>1.94</v>
      </c>
      <c r="D69">
        <v>1</v>
      </c>
      <c r="E69">
        <f t="shared" ca="1" si="5"/>
        <v>65</v>
      </c>
      <c r="F69">
        <v>0</v>
      </c>
    </row>
    <row r="70" spans="1:6" x14ac:dyDescent="0.2">
      <c r="A70">
        <v>18</v>
      </c>
      <c r="B70">
        <f t="shared" si="3"/>
        <v>198</v>
      </c>
      <c r="C70">
        <f t="shared" ca="1" si="4"/>
        <v>2.16</v>
      </c>
      <c r="D70">
        <v>1</v>
      </c>
      <c r="E70">
        <f t="shared" ca="1" si="5"/>
        <v>67</v>
      </c>
      <c r="F70">
        <v>0</v>
      </c>
    </row>
    <row r="71" spans="1:6" x14ac:dyDescent="0.2">
      <c r="A71">
        <v>19</v>
      </c>
      <c r="B71">
        <f t="shared" si="3"/>
        <v>209</v>
      </c>
      <c r="C71">
        <f t="shared" ca="1" si="4"/>
        <v>1.87</v>
      </c>
      <c r="D71">
        <v>1</v>
      </c>
      <c r="E71">
        <f t="shared" ca="1" si="5"/>
        <v>66</v>
      </c>
      <c r="F71">
        <v>0</v>
      </c>
    </row>
    <row r="72" spans="1:6" x14ac:dyDescent="0.2">
      <c r="A72">
        <v>20</v>
      </c>
      <c r="B72">
        <f t="shared" si="3"/>
        <v>220</v>
      </c>
      <c r="C72">
        <f t="shared" ca="1" si="4"/>
        <v>1.6</v>
      </c>
      <c r="D72">
        <v>1</v>
      </c>
      <c r="E72">
        <f t="shared" ca="1" si="5"/>
        <v>65</v>
      </c>
      <c r="F72">
        <v>0</v>
      </c>
    </row>
    <row r="73" spans="1:6" x14ac:dyDescent="0.2">
      <c r="A73">
        <v>21</v>
      </c>
      <c r="B73">
        <f t="shared" si="3"/>
        <v>231</v>
      </c>
      <c r="C73">
        <f t="shared" ca="1" si="4"/>
        <v>1.68</v>
      </c>
      <c r="D73">
        <f t="shared" ref="D73:F92" ca="1" si="6">RANDBETWEEN(80, 100)</f>
        <v>86</v>
      </c>
      <c r="E73">
        <f t="shared" ca="1" si="5"/>
        <v>68</v>
      </c>
      <c r="F73">
        <f t="shared" ca="1" si="6"/>
        <v>93</v>
      </c>
    </row>
    <row r="74" spans="1:6" x14ac:dyDescent="0.2">
      <c r="A74">
        <v>22</v>
      </c>
      <c r="B74">
        <f t="shared" si="3"/>
        <v>242</v>
      </c>
      <c r="C74">
        <f t="shared" ca="1" si="4"/>
        <v>1.87</v>
      </c>
      <c r="D74">
        <f t="shared" ca="1" si="6"/>
        <v>84</v>
      </c>
      <c r="E74">
        <f t="shared" ca="1" si="5"/>
        <v>69</v>
      </c>
      <c r="F74">
        <f t="shared" ca="1" si="6"/>
        <v>98</v>
      </c>
    </row>
    <row r="75" spans="1:6" x14ac:dyDescent="0.2">
      <c r="A75">
        <v>23</v>
      </c>
      <c r="B75">
        <f t="shared" si="3"/>
        <v>253</v>
      </c>
      <c r="C75">
        <f t="shared" ca="1" si="4"/>
        <v>2.2599999999999998</v>
      </c>
      <c r="D75">
        <f t="shared" ca="1" si="6"/>
        <v>82</v>
      </c>
      <c r="E75">
        <f t="shared" ca="1" si="5"/>
        <v>67</v>
      </c>
      <c r="F75">
        <f t="shared" ca="1" si="6"/>
        <v>92</v>
      </c>
    </row>
    <row r="76" spans="1:6" x14ac:dyDescent="0.2">
      <c r="A76">
        <v>24</v>
      </c>
      <c r="B76">
        <f t="shared" si="3"/>
        <v>264</v>
      </c>
      <c r="C76">
        <f t="shared" ca="1" si="4"/>
        <v>2.38</v>
      </c>
      <c r="D76">
        <f t="shared" ca="1" si="6"/>
        <v>96</v>
      </c>
      <c r="E76">
        <f t="shared" ca="1" si="5"/>
        <v>74</v>
      </c>
      <c r="F76">
        <f t="shared" ca="1" si="6"/>
        <v>99</v>
      </c>
    </row>
    <row r="77" spans="1:6" x14ac:dyDescent="0.2">
      <c r="A77">
        <v>25</v>
      </c>
      <c r="B77">
        <f t="shared" si="3"/>
        <v>275</v>
      </c>
      <c r="C77">
        <f ca="1">RANDBETWEEN(150, 240)/100</f>
        <v>1.85</v>
      </c>
      <c r="D77">
        <f t="shared" ca="1" si="6"/>
        <v>87</v>
      </c>
      <c r="E77">
        <f t="shared" ca="1" si="5"/>
        <v>66</v>
      </c>
      <c r="F77">
        <f t="shared" ca="1" si="6"/>
        <v>95</v>
      </c>
    </row>
    <row r="78" spans="1:6" x14ac:dyDescent="0.2">
      <c r="A78">
        <v>26</v>
      </c>
      <c r="B78">
        <f t="shared" si="3"/>
        <v>286</v>
      </c>
      <c r="C78">
        <f t="shared" ca="1" si="4"/>
        <v>1.98</v>
      </c>
      <c r="D78">
        <f t="shared" ca="1" si="6"/>
        <v>89</v>
      </c>
      <c r="E78">
        <f t="shared" ca="1" si="5"/>
        <v>73</v>
      </c>
      <c r="F78">
        <f t="shared" ca="1" si="6"/>
        <v>83</v>
      </c>
    </row>
    <row r="79" spans="1:6" x14ac:dyDescent="0.2">
      <c r="A79">
        <v>27</v>
      </c>
      <c r="B79">
        <f t="shared" si="3"/>
        <v>297</v>
      </c>
      <c r="C79">
        <f t="shared" ca="1" si="4"/>
        <v>2.31</v>
      </c>
      <c r="D79">
        <f t="shared" ca="1" si="6"/>
        <v>99</v>
      </c>
      <c r="E79">
        <f t="shared" ca="1" si="5"/>
        <v>71</v>
      </c>
      <c r="F79">
        <f t="shared" ca="1" si="6"/>
        <v>92</v>
      </c>
    </row>
    <row r="80" spans="1:6" x14ac:dyDescent="0.2">
      <c r="A80">
        <v>28</v>
      </c>
      <c r="B80">
        <f t="shared" si="3"/>
        <v>308</v>
      </c>
      <c r="C80">
        <f t="shared" ca="1" si="4"/>
        <v>2.0099999999999998</v>
      </c>
      <c r="D80">
        <f t="shared" ca="1" si="6"/>
        <v>94</v>
      </c>
      <c r="E80">
        <f t="shared" ca="1" si="5"/>
        <v>70</v>
      </c>
      <c r="F80">
        <f t="shared" ca="1" si="6"/>
        <v>83</v>
      </c>
    </row>
    <row r="81" spans="1:6" x14ac:dyDescent="0.2">
      <c r="A81">
        <v>29</v>
      </c>
      <c r="B81">
        <f t="shared" si="3"/>
        <v>319</v>
      </c>
      <c r="C81">
        <f t="shared" ca="1" si="4"/>
        <v>1.59</v>
      </c>
      <c r="D81">
        <f t="shared" ca="1" si="6"/>
        <v>80</v>
      </c>
      <c r="E81">
        <f ca="1">RANDBETWEEN(65, 75)</f>
        <v>67</v>
      </c>
      <c r="F81">
        <f t="shared" ca="1" si="6"/>
        <v>99</v>
      </c>
    </row>
    <row r="82" spans="1:6" x14ac:dyDescent="0.2">
      <c r="A82">
        <v>30</v>
      </c>
      <c r="B82">
        <f t="shared" si="3"/>
        <v>330</v>
      </c>
      <c r="C82">
        <f t="shared" ca="1" si="4"/>
        <v>1.56</v>
      </c>
      <c r="D82">
        <f t="shared" ca="1" si="6"/>
        <v>94</v>
      </c>
      <c r="E82">
        <f t="shared" ca="1" si="5"/>
        <v>67</v>
      </c>
      <c r="F82">
        <f t="shared" ca="1" si="6"/>
        <v>83</v>
      </c>
    </row>
    <row r="83" spans="1:6" x14ac:dyDescent="0.2">
      <c r="A83">
        <v>31</v>
      </c>
      <c r="B83">
        <f t="shared" si="3"/>
        <v>341</v>
      </c>
      <c r="C83">
        <f t="shared" ca="1" si="4"/>
        <v>1.74</v>
      </c>
      <c r="D83">
        <f t="shared" ca="1" si="6"/>
        <v>95</v>
      </c>
      <c r="E83">
        <f t="shared" ca="1" si="5"/>
        <v>67</v>
      </c>
      <c r="F83">
        <f t="shared" ca="1" si="6"/>
        <v>100</v>
      </c>
    </row>
    <row r="84" spans="1:6" x14ac:dyDescent="0.2">
      <c r="A84">
        <v>32</v>
      </c>
      <c r="B84">
        <f t="shared" si="3"/>
        <v>352</v>
      </c>
      <c r="C84">
        <f t="shared" ca="1" si="4"/>
        <v>2.36</v>
      </c>
      <c r="D84">
        <f t="shared" ca="1" si="6"/>
        <v>84</v>
      </c>
      <c r="E84">
        <f t="shared" ca="1" si="5"/>
        <v>67</v>
      </c>
      <c r="F84">
        <f t="shared" ca="1" si="6"/>
        <v>91</v>
      </c>
    </row>
    <row r="85" spans="1:6" x14ac:dyDescent="0.2">
      <c r="A85">
        <v>33</v>
      </c>
      <c r="B85">
        <f t="shared" si="3"/>
        <v>363</v>
      </c>
      <c r="C85">
        <f ca="1">RANDBETWEEN(150, 240)/100</f>
        <v>1.85</v>
      </c>
      <c r="D85">
        <f t="shared" ca="1" si="6"/>
        <v>96</v>
      </c>
      <c r="E85">
        <f t="shared" ca="1" si="5"/>
        <v>74</v>
      </c>
      <c r="F85">
        <f t="shared" ca="1" si="6"/>
        <v>83</v>
      </c>
    </row>
    <row r="86" spans="1:6" x14ac:dyDescent="0.2">
      <c r="A86">
        <v>34</v>
      </c>
      <c r="B86">
        <f t="shared" si="3"/>
        <v>374</v>
      </c>
      <c r="C86">
        <f t="shared" ca="1" si="4"/>
        <v>1.92</v>
      </c>
      <c r="D86">
        <f t="shared" ca="1" si="6"/>
        <v>90</v>
      </c>
      <c r="E86">
        <f t="shared" ca="1" si="5"/>
        <v>66</v>
      </c>
      <c r="F86">
        <f t="shared" ca="1" si="6"/>
        <v>90</v>
      </c>
    </row>
    <row r="87" spans="1:6" x14ac:dyDescent="0.2">
      <c r="A87">
        <v>35</v>
      </c>
      <c r="B87">
        <f t="shared" si="3"/>
        <v>385</v>
      </c>
      <c r="C87">
        <f t="shared" ca="1" si="4"/>
        <v>2.0699999999999998</v>
      </c>
      <c r="D87">
        <f t="shared" ca="1" si="6"/>
        <v>88</v>
      </c>
      <c r="E87">
        <f t="shared" ca="1" si="5"/>
        <v>74</v>
      </c>
      <c r="F87">
        <f t="shared" ca="1" si="6"/>
        <v>80</v>
      </c>
    </row>
    <row r="88" spans="1:6" x14ac:dyDescent="0.2">
      <c r="A88">
        <v>36</v>
      </c>
      <c r="B88">
        <f t="shared" si="3"/>
        <v>396</v>
      </c>
      <c r="C88">
        <f t="shared" ca="1" si="4"/>
        <v>2.29</v>
      </c>
      <c r="D88">
        <f ca="1">RANDBETWEEN(80, 100)</f>
        <v>92</v>
      </c>
      <c r="E88">
        <f t="shared" ca="1" si="5"/>
        <v>70</v>
      </c>
      <c r="F88">
        <f ca="1">RANDBETWEEN(80, 100)</f>
        <v>82</v>
      </c>
    </row>
    <row r="89" spans="1:6" x14ac:dyDescent="0.2">
      <c r="A89">
        <v>37</v>
      </c>
      <c r="B89">
        <f t="shared" si="3"/>
        <v>407</v>
      </c>
      <c r="C89">
        <f t="shared" ca="1" si="4"/>
        <v>2.2400000000000002</v>
      </c>
      <c r="D89">
        <f t="shared" ca="1" si="6"/>
        <v>88</v>
      </c>
      <c r="E89">
        <f t="shared" ca="1" si="5"/>
        <v>66</v>
      </c>
      <c r="F89">
        <f t="shared" ca="1" si="6"/>
        <v>86</v>
      </c>
    </row>
    <row r="90" spans="1:6" x14ac:dyDescent="0.2">
      <c r="A90">
        <v>38</v>
      </c>
      <c r="B90">
        <f t="shared" si="3"/>
        <v>418</v>
      </c>
      <c r="C90">
        <f t="shared" ca="1" si="4"/>
        <v>2.27</v>
      </c>
      <c r="D90">
        <f t="shared" ca="1" si="6"/>
        <v>91</v>
      </c>
      <c r="E90">
        <f t="shared" ca="1" si="5"/>
        <v>72</v>
      </c>
      <c r="F90">
        <f t="shared" ca="1" si="6"/>
        <v>96</v>
      </c>
    </row>
    <row r="91" spans="1:6" x14ac:dyDescent="0.2">
      <c r="A91">
        <v>39</v>
      </c>
      <c r="B91">
        <f t="shared" si="3"/>
        <v>429</v>
      </c>
      <c r="C91">
        <f t="shared" ca="1" si="4"/>
        <v>2.33</v>
      </c>
      <c r="D91">
        <f t="shared" ca="1" si="6"/>
        <v>85</v>
      </c>
      <c r="E91">
        <f t="shared" ca="1" si="5"/>
        <v>70</v>
      </c>
      <c r="F91">
        <f t="shared" ca="1" si="6"/>
        <v>90</v>
      </c>
    </row>
    <row r="92" spans="1:6" x14ac:dyDescent="0.2">
      <c r="A92">
        <v>40</v>
      </c>
      <c r="B92">
        <f t="shared" si="3"/>
        <v>440</v>
      </c>
      <c r="C92">
        <f t="shared" ca="1" si="4"/>
        <v>2.02</v>
      </c>
      <c r="D92">
        <f t="shared" ca="1" si="6"/>
        <v>97</v>
      </c>
      <c r="E92">
        <f t="shared" ca="1" si="5"/>
        <v>72</v>
      </c>
      <c r="F92">
        <f t="shared" ca="1" si="6"/>
        <v>97</v>
      </c>
    </row>
    <row r="93" spans="1:6" x14ac:dyDescent="0.2">
      <c r="A93">
        <v>41</v>
      </c>
      <c r="B93">
        <f t="shared" si="3"/>
        <v>451</v>
      </c>
      <c r="C93">
        <f t="shared" ca="1" si="4"/>
        <v>1.68</v>
      </c>
      <c r="D93">
        <v>1</v>
      </c>
      <c r="E93">
        <f t="shared" ca="1" si="5"/>
        <v>72</v>
      </c>
      <c r="F93">
        <v>0</v>
      </c>
    </row>
    <row r="94" spans="1:6" x14ac:dyDescent="0.2">
      <c r="A94">
        <v>42</v>
      </c>
      <c r="B94">
        <f t="shared" si="3"/>
        <v>462</v>
      </c>
      <c r="C94">
        <f t="shared" ca="1" si="4"/>
        <v>1.68</v>
      </c>
      <c r="D94">
        <v>1</v>
      </c>
      <c r="E94">
        <f t="shared" ca="1" si="5"/>
        <v>72</v>
      </c>
      <c r="F94">
        <v>0</v>
      </c>
    </row>
    <row r="95" spans="1:6" x14ac:dyDescent="0.2">
      <c r="A95">
        <v>43</v>
      </c>
      <c r="B95">
        <f t="shared" si="3"/>
        <v>473</v>
      </c>
      <c r="C95">
        <f ca="1">RANDBETWEEN(150, 240)/100</f>
        <v>2.2000000000000002</v>
      </c>
      <c r="D95">
        <v>1</v>
      </c>
      <c r="E95">
        <f t="shared" ca="1" si="5"/>
        <v>69</v>
      </c>
      <c r="F95">
        <v>0</v>
      </c>
    </row>
    <row r="96" spans="1:6" x14ac:dyDescent="0.2">
      <c r="A96">
        <v>44</v>
      </c>
      <c r="B96">
        <f t="shared" si="3"/>
        <v>484</v>
      </c>
      <c r="C96">
        <f t="shared" ca="1" si="4"/>
        <v>1.7</v>
      </c>
      <c r="D96">
        <v>1</v>
      </c>
      <c r="E96">
        <f ca="1">RANDBETWEEN(65, 75)</f>
        <v>65</v>
      </c>
      <c r="F96">
        <v>0</v>
      </c>
    </row>
    <row r="97" spans="1:6" x14ac:dyDescent="0.2">
      <c r="A97">
        <v>45</v>
      </c>
      <c r="B97">
        <f t="shared" si="3"/>
        <v>495</v>
      </c>
      <c r="C97">
        <f t="shared" ca="1" si="4"/>
        <v>2.3199999999999998</v>
      </c>
      <c r="D97">
        <v>1</v>
      </c>
      <c r="E97">
        <f t="shared" ca="1" si="5"/>
        <v>74</v>
      </c>
      <c r="F97">
        <v>0</v>
      </c>
    </row>
    <row r="98" spans="1:6" x14ac:dyDescent="0.2">
      <c r="A98">
        <v>46</v>
      </c>
      <c r="B98">
        <f t="shared" si="3"/>
        <v>506</v>
      </c>
      <c r="C98">
        <f t="shared" ca="1" si="4"/>
        <v>1.55</v>
      </c>
      <c r="D98">
        <v>1</v>
      </c>
      <c r="E98">
        <f t="shared" ca="1" si="5"/>
        <v>65</v>
      </c>
      <c r="F98">
        <v>0</v>
      </c>
    </row>
    <row r="99" spans="1:6" x14ac:dyDescent="0.2">
      <c r="A99">
        <v>47</v>
      </c>
      <c r="B99">
        <f t="shared" si="3"/>
        <v>517</v>
      </c>
      <c r="C99">
        <f t="shared" ca="1" si="4"/>
        <v>2.25</v>
      </c>
      <c r="D99">
        <v>1</v>
      </c>
      <c r="E99">
        <f t="shared" ca="1" si="5"/>
        <v>66</v>
      </c>
      <c r="F99">
        <v>0</v>
      </c>
    </row>
    <row r="100" spans="1:6" x14ac:dyDescent="0.2">
      <c r="A100">
        <v>48</v>
      </c>
      <c r="B100">
        <f t="shared" si="3"/>
        <v>528</v>
      </c>
      <c r="C100">
        <f t="shared" ca="1" si="4"/>
        <v>1.77</v>
      </c>
      <c r="D100">
        <v>1</v>
      </c>
      <c r="E100">
        <f t="shared" ca="1" si="5"/>
        <v>68</v>
      </c>
      <c r="F100">
        <v>0</v>
      </c>
    </row>
    <row r="101" spans="1:6" x14ac:dyDescent="0.2">
      <c r="A101">
        <v>49</v>
      </c>
      <c r="B101">
        <f t="shared" si="3"/>
        <v>539</v>
      </c>
      <c r="C101">
        <f t="shared" ca="1" si="4"/>
        <v>1.92</v>
      </c>
      <c r="D101">
        <v>1</v>
      </c>
      <c r="E101">
        <f t="shared" ca="1" si="5"/>
        <v>70</v>
      </c>
      <c r="F101">
        <v>0</v>
      </c>
    </row>
    <row r="102" spans="1:6" x14ac:dyDescent="0.2">
      <c r="A102">
        <v>50</v>
      </c>
      <c r="B102">
        <f t="shared" si="3"/>
        <v>550</v>
      </c>
      <c r="C102">
        <f t="shared" ca="1" si="4"/>
        <v>1.64</v>
      </c>
      <c r="D102">
        <v>1</v>
      </c>
      <c r="E102">
        <f t="shared" ca="1" si="5"/>
        <v>66</v>
      </c>
      <c r="F102">
        <v>0</v>
      </c>
    </row>
    <row r="103" spans="1:6" x14ac:dyDescent="0.2">
      <c r="A103">
        <v>51</v>
      </c>
      <c r="B103">
        <f t="shared" si="3"/>
        <v>561</v>
      </c>
      <c r="C103">
        <f t="shared" ca="1" si="4"/>
        <v>1.82</v>
      </c>
      <c r="D103">
        <v>1</v>
      </c>
      <c r="E103">
        <f t="shared" ca="1" si="5"/>
        <v>69</v>
      </c>
      <c r="F103">
        <v>0</v>
      </c>
    </row>
    <row r="104" spans="1:6" x14ac:dyDescent="0.2">
      <c r="A104">
        <v>52</v>
      </c>
      <c r="B104">
        <f t="shared" si="3"/>
        <v>572</v>
      </c>
      <c r="C104">
        <f t="shared" ca="1" si="4"/>
        <v>2.0699999999999998</v>
      </c>
      <c r="D104">
        <v>1</v>
      </c>
      <c r="E104">
        <f t="shared" ca="1" si="5"/>
        <v>70</v>
      </c>
      <c r="F104">
        <v>0</v>
      </c>
    </row>
    <row r="105" spans="1:6" x14ac:dyDescent="0.2">
      <c r="A105">
        <v>53</v>
      </c>
      <c r="B105">
        <f t="shared" si="3"/>
        <v>583</v>
      </c>
      <c r="C105">
        <f t="shared" ca="1" si="4"/>
        <v>1.72</v>
      </c>
      <c r="D105">
        <v>1</v>
      </c>
      <c r="E105">
        <f t="shared" ca="1" si="5"/>
        <v>66</v>
      </c>
      <c r="F105">
        <v>0</v>
      </c>
    </row>
    <row r="106" spans="1:6" x14ac:dyDescent="0.2">
      <c r="A106">
        <v>54</v>
      </c>
      <c r="B106">
        <f t="shared" si="3"/>
        <v>594</v>
      </c>
      <c r="C106">
        <f t="shared" ca="1" si="4"/>
        <v>1.74</v>
      </c>
      <c r="D106">
        <v>1</v>
      </c>
      <c r="E106">
        <f t="shared" ca="1" si="5"/>
        <v>72</v>
      </c>
      <c r="F106">
        <v>0</v>
      </c>
    </row>
    <row r="107" spans="1:6" x14ac:dyDescent="0.2">
      <c r="A107">
        <v>55</v>
      </c>
      <c r="B107">
        <f t="shared" si="3"/>
        <v>605</v>
      </c>
      <c r="C107">
        <f t="shared" ca="1" si="4"/>
        <v>1.66</v>
      </c>
      <c r="D107">
        <v>1</v>
      </c>
      <c r="E107">
        <f t="shared" ca="1" si="5"/>
        <v>74</v>
      </c>
      <c r="F107">
        <v>0</v>
      </c>
    </row>
    <row r="108" spans="1:6" x14ac:dyDescent="0.2">
      <c r="A108">
        <v>56</v>
      </c>
      <c r="B108">
        <f t="shared" si="3"/>
        <v>616</v>
      </c>
      <c r="C108">
        <f t="shared" ca="1" si="4"/>
        <v>2.2000000000000002</v>
      </c>
      <c r="D108">
        <v>1</v>
      </c>
      <c r="E108">
        <f t="shared" ca="1" si="5"/>
        <v>69</v>
      </c>
      <c r="F108">
        <v>0</v>
      </c>
    </row>
    <row r="109" spans="1:6" x14ac:dyDescent="0.2">
      <c r="A109">
        <v>57</v>
      </c>
      <c r="B109">
        <f t="shared" si="3"/>
        <v>627</v>
      </c>
      <c r="C109">
        <f t="shared" ca="1" si="4"/>
        <v>1.85</v>
      </c>
      <c r="D109">
        <v>1</v>
      </c>
      <c r="E109">
        <f t="shared" ca="1" si="5"/>
        <v>65</v>
      </c>
      <c r="F109">
        <v>0</v>
      </c>
    </row>
    <row r="110" spans="1:6" x14ac:dyDescent="0.2">
      <c r="A110">
        <v>58</v>
      </c>
      <c r="B110">
        <f t="shared" si="3"/>
        <v>638</v>
      </c>
      <c r="C110">
        <f t="shared" ca="1" si="4"/>
        <v>2.0699999999999998</v>
      </c>
      <c r="D110">
        <v>1</v>
      </c>
      <c r="E110">
        <f t="shared" ca="1" si="5"/>
        <v>75</v>
      </c>
      <c r="F110">
        <v>0</v>
      </c>
    </row>
    <row r="111" spans="1:6" x14ac:dyDescent="0.2">
      <c r="A111">
        <v>59</v>
      </c>
      <c r="B111">
        <f t="shared" si="3"/>
        <v>649</v>
      </c>
      <c r="C111">
        <f t="shared" ca="1" si="4"/>
        <v>2.14</v>
      </c>
      <c r="D111">
        <v>1</v>
      </c>
      <c r="E111">
        <f t="shared" ca="1" si="5"/>
        <v>75</v>
      </c>
      <c r="F111">
        <v>0</v>
      </c>
    </row>
    <row r="112" spans="1:6" x14ac:dyDescent="0.2">
      <c r="A112">
        <v>60</v>
      </c>
      <c r="B112">
        <f t="shared" si="3"/>
        <v>660</v>
      </c>
      <c r="C112">
        <f t="shared" ca="1" si="4"/>
        <v>2.27</v>
      </c>
      <c r="D112">
        <v>1</v>
      </c>
      <c r="E112">
        <f t="shared" ca="1" si="5"/>
        <v>71</v>
      </c>
      <c r="F112">
        <v>0</v>
      </c>
    </row>
    <row r="113" spans="1:6" x14ac:dyDescent="0.2">
      <c r="A113">
        <v>61</v>
      </c>
      <c r="B113">
        <f t="shared" si="3"/>
        <v>671</v>
      </c>
      <c r="C113">
        <f t="shared" ca="1" si="4"/>
        <v>2.27</v>
      </c>
      <c r="D113">
        <f t="shared" ref="D113:F132" ca="1" si="7">RANDBETWEEN(80, 100)</f>
        <v>85</v>
      </c>
      <c r="E113">
        <f t="shared" ca="1" si="5"/>
        <v>72</v>
      </c>
      <c r="F113">
        <f t="shared" ca="1" si="7"/>
        <v>81</v>
      </c>
    </row>
    <row r="114" spans="1:6" x14ac:dyDescent="0.2">
      <c r="A114">
        <v>62</v>
      </c>
      <c r="B114">
        <f t="shared" si="3"/>
        <v>682</v>
      </c>
      <c r="C114">
        <f ca="1">RANDBETWEEN(150, 240)/100</f>
        <v>2.17</v>
      </c>
      <c r="D114">
        <f t="shared" ca="1" si="7"/>
        <v>100</v>
      </c>
      <c r="E114">
        <f ca="1">RANDBETWEEN(65, 75)</f>
        <v>70</v>
      </c>
      <c r="F114">
        <f t="shared" ca="1" si="7"/>
        <v>91</v>
      </c>
    </row>
    <row r="115" spans="1:6" x14ac:dyDescent="0.2">
      <c r="A115">
        <v>63</v>
      </c>
      <c r="B115">
        <f t="shared" si="3"/>
        <v>693</v>
      </c>
      <c r="C115">
        <f t="shared" ca="1" si="4"/>
        <v>1.68</v>
      </c>
      <c r="D115">
        <f t="shared" ca="1" si="7"/>
        <v>96</v>
      </c>
      <c r="E115">
        <f t="shared" ca="1" si="5"/>
        <v>74</v>
      </c>
      <c r="F115">
        <f t="shared" ca="1" si="7"/>
        <v>95</v>
      </c>
    </row>
    <row r="116" spans="1:6" x14ac:dyDescent="0.2">
      <c r="A116">
        <v>64</v>
      </c>
      <c r="B116">
        <f t="shared" si="3"/>
        <v>704</v>
      </c>
      <c r="C116">
        <f t="shared" ca="1" si="4"/>
        <v>2.13</v>
      </c>
      <c r="D116">
        <f t="shared" ca="1" si="7"/>
        <v>92</v>
      </c>
      <c r="E116">
        <f t="shared" ca="1" si="5"/>
        <v>70</v>
      </c>
      <c r="F116">
        <f t="shared" ca="1" si="7"/>
        <v>82</v>
      </c>
    </row>
    <row r="117" spans="1:6" x14ac:dyDescent="0.2">
      <c r="A117">
        <v>65</v>
      </c>
      <c r="B117">
        <f t="shared" si="3"/>
        <v>715</v>
      </c>
      <c r="C117">
        <f t="shared" ca="1" si="4"/>
        <v>1.68</v>
      </c>
      <c r="D117">
        <f t="shared" ca="1" si="7"/>
        <v>93</v>
      </c>
      <c r="E117">
        <f t="shared" ca="1" si="5"/>
        <v>72</v>
      </c>
      <c r="F117">
        <f t="shared" ca="1" si="7"/>
        <v>81</v>
      </c>
    </row>
    <row r="118" spans="1:6" x14ac:dyDescent="0.2">
      <c r="A118">
        <v>66</v>
      </c>
      <c r="B118">
        <f t="shared" ref="B118:B152" si="8">A118*11</f>
        <v>726</v>
      </c>
      <c r="C118">
        <f t="shared" ref="C118:C134" ca="1" si="9">RANDBETWEEN(150, 240)/100</f>
        <v>1.65</v>
      </c>
      <c r="D118">
        <f t="shared" ca="1" si="7"/>
        <v>97</v>
      </c>
      <c r="E118">
        <f t="shared" ref="E118:E130" ca="1" si="10">RANDBETWEEN(65, 75)</f>
        <v>75</v>
      </c>
      <c r="F118">
        <f t="shared" ca="1" si="7"/>
        <v>81</v>
      </c>
    </row>
    <row r="119" spans="1:6" x14ac:dyDescent="0.2">
      <c r="A119">
        <v>67</v>
      </c>
      <c r="B119">
        <f t="shared" si="8"/>
        <v>737</v>
      </c>
      <c r="C119">
        <f t="shared" ca="1" si="9"/>
        <v>1.66</v>
      </c>
      <c r="D119">
        <f t="shared" ca="1" si="7"/>
        <v>98</v>
      </c>
      <c r="E119">
        <f t="shared" ca="1" si="10"/>
        <v>71</v>
      </c>
      <c r="F119">
        <f t="shared" ca="1" si="7"/>
        <v>82</v>
      </c>
    </row>
    <row r="120" spans="1:6" x14ac:dyDescent="0.2">
      <c r="A120">
        <v>68</v>
      </c>
      <c r="B120">
        <f t="shared" si="8"/>
        <v>748</v>
      </c>
      <c r="C120">
        <f t="shared" ca="1" si="9"/>
        <v>2.4</v>
      </c>
      <c r="D120">
        <f t="shared" ca="1" si="7"/>
        <v>93</v>
      </c>
      <c r="E120">
        <f t="shared" ca="1" si="10"/>
        <v>74</v>
      </c>
      <c r="F120">
        <f t="shared" ca="1" si="7"/>
        <v>86</v>
      </c>
    </row>
    <row r="121" spans="1:6" x14ac:dyDescent="0.2">
      <c r="A121">
        <v>69</v>
      </c>
      <c r="B121">
        <f t="shared" si="8"/>
        <v>759</v>
      </c>
      <c r="C121">
        <f t="shared" ca="1" si="9"/>
        <v>1.8</v>
      </c>
      <c r="D121">
        <f t="shared" ca="1" si="7"/>
        <v>93</v>
      </c>
      <c r="E121">
        <f t="shared" ca="1" si="10"/>
        <v>70</v>
      </c>
      <c r="F121">
        <f t="shared" ca="1" si="7"/>
        <v>84</v>
      </c>
    </row>
    <row r="122" spans="1:6" x14ac:dyDescent="0.2">
      <c r="A122">
        <v>70</v>
      </c>
      <c r="B122">
        <f t="shared" si="8"/>
        <v>770</v>
      </c>
      <c r="C122">
        <f t="shared" ca="1" si="9"/>
        <v>1.55</v>
      </c>
      <c r="D122">
        <f t="shared" ca="1" si="7"/>
        <v>84</v>
      </c>
      <c r="E122">
        <f t="shared" ca="1" si="10"/>
        <v>71</v>
      </c>
      <c r="F122">
        <f t="shared" ca="1" si="7"/>
        <v>91</v>
      </c>
    </row>
    <row r="123" spans="1:6" x14ac:dyDescent="0.2">
      <c r="A123">
        <v>71</v>
      </c>
      <c r="B123">
        <f t="shared" si="8"/>
        <v>781</v>
      </c>
      <c r="C123">
        <f t="shared" ca="1" si="9"/>
        <v>2</v>
      </c>
      <c r="D123">
        <f t="shared" ca="1" si="7"/>
        <v>81</v>
      </c>
      <c r="E123">
        <f t="shared" ca="1" si="10"/>
        <v>75</v>
      </c>
      <c r="F123">
        <f t="shared" ca="1" si="7"/>
        <v>81</v>
      </c>
    </row>
    <row r="124" spans="1:6" x14ac:dyDescent="0.2">
      <c r="A124">
        <v>72</v>
      </c>
      <c r="B124">
        <f t="shared" si="8"/>
        <v>792</v>
      </c>
      <c r="C124">
        <f t="shared" ca="1" si="9"/>
        <v>2.09</v>
      </c>
      <c r="D124">
        <f t="shared" ca="1" si="7"/>
        <v>96</v>
      </c>
      <c r="E124">
        <f t="shared" ca="1" si="10"/>
        <v>68</v>
      </c>
      <c r="F124">
        <f t="shared" ca="1" si="7"/>
        <v>86</v>
      </c>
    </row>
    <row r="125" spans="1:6" x14ac:dyDescent="0.2">
      <c r="A125">
        <v>73</v>
      </c>
      <c r="B125">
        <f t="shared" si="8"/>
        <v>803</v>
      </c>
      <c r="C125">
        <f t="shared" ca="1" si="9"/>
        <v>1.56</v>
      </c>
      <c r="D125">
        <f t="shared" ca="1" si="7"/>
        <v>86</v>
      </c>
      <c r="E125">
        <f t="shared" ca="1" si="10"/>
        <v>69</v>
      </c>
      <c r="F125">
        <f t="shared" ca="1" si="7"/>
        <v>81</v>
      </c>
    </row>
    <row r="126" spans="1:6" x14ac:dyDescent="0.2">
      <c r="A126">
        <v>74</v>
      </c>
      <c r="B126">
        <f t="shared" si="8"/>
        <v>814</v>
      </c>
      <c r="C126">
        <f t="shared" ca="1" si="9"/>
        <v>2.14</v>
      </c>
      <c r="D126">
        <f t="shared" ca="1" si="7"/>
        <v>97</v>
      </c>
      <c r="E126">
        <f t="shared" ca="1" si="10"/>
        <v>69</v>
      </c>
      <c r="F126">
        <f t="shared" ca="1" si="7"/>
        <v>96</v>
      </c>
    </row>
    <row r="127" spans="1:6" x14ac:dyDescent="0.2">
      <c r="A127">
        <v>75</v>
      </c>
      <c r="B127">
        <f t="shared" si="8"/>
        <v>825</v>
      </c>
      <c r="C127">
        <f t="shared" ca="1" si="9"/>
        <v>2.04</v>
      </c>
      <c r="D127">
        <f t="shared" ca="1" si="7"/>
        <v>80</v>
      </c>
      <c r="E127">
        <f t="shared" ca="1" si="10"/>
        <v>71</v>
      </c>
      <c r="F127">
        <f t="shared" ca="1" si="7"/>
        <v>82</v>
      </c>
    </row>
    <row r="128" spans="1:6" x14ac:dyDescent="0.2">
      <c r="A128">
        <v>76</v>
      </c>
      <c r="B128">
        <f t="shared" si="8"/>
        <v>836</v>
      </c>
      <c r="C128">
        <f t="shared" ca="1" si="9"/>
        <v>2.29</v>
      </c>
      <c r="D128">
        <f ca="1">RANDBETWEEN(80, 100)</f>
        <v>84</v>
      </c>
      <c r="E128">
        <f t="shared" ca="1" si="10"/>
        <v>68</v>
      </c>
      <c r="F128">
        <f ca="1">RANDBETWEEN(80, 100)</f>
        <v>82</v>
      </c>
    </row>
    <row r="129" spans="1:6" x14ac:dyDescent="0.2">
      <c r="A129">
        <v>77</v>
      </c>
      <c r="B129">
        <f t="shared" si="8"/>
        <v>847</v>
      </c>
      <c r="C129">
        <f t="shared" ca="1" si="9"/>
        <v>2.13</v>
      </c>
      <c r="D129">
        <f t="shared" ca="1" si="7"/>
        <v>93</v>
      </c>
      <c r="E129">
        <f t="shared" ca="1" si="10"/>
        <v>75</v>
      </c>
      <c r="F129">
        <f t="shared" ca="1" si="7"/>
        <v>90</v>
      </c>
    </row>
    <row r="130" spans="1:6" x14ac:dyDescent="0.2">
      <c r="A130">
        <v>78</v>
      </c>
      <c r="B130">
        <f t="shared" si="8"/>
        <v>858</v>
      </c>
      <c r="C130">
        <f t="shared" ca="1" si="9"/>
        <v>1.7</v>
      </c>
      <c r="D130">
        <f t="shared" ca="1" si="7"/>
        <v>100</v>
      </c>
      <c r="E130">
        <f t="shared" ca="1" si="10"/>
        <v>65</v>
      </c>
      <c r="F130">
        <f t="shared" ca="1" si="7"/>
        <v>98</v>
      </c>
    </row>
    <row r="131" spans="1:6" x14ac:dyDescent="0.2">
      <c r="A131">
        <v>79</v>
      </c>
      <c r="B131">
        <f t="shared" si="8"/>
        <v>869</v>
      </c>
      <c r="C131">
        <f t="shared" ca="1" si="9"/>
        <v>1.98</v>
      </c>
      <c r="D131">
        <f t="shared" ca="1" si="7"/>
        <v>91</v>
      </c>
      <c r="E131">
        <f ca="1">RANDBETWEEN(65, 75)</f>
        <v>67</v>
      </c>
      <c r="F131">
        <f t="shared" ca="1" si="7"/>
        <v>88</v>
      </c>
    </row>
    <row r="132" spans="1:6" x14ac:dyDescent="0.2">
      <c r="A132">
        <v>80</v>
      </c>
      <c r="B132">
        <f t="shared" si="8"/>
        <v>880</v>
      </c>
      <c r="C132">
        <f t="shared" ca="1" si="9"/>
        <v>2.06</v>
      </c>
      <c r="D132">
        <f t="shared" ca="1" si="7"/>
        <v>87</v>
      </c>
      <c r="E132">
        <f t="shared" ref="E132:E151" ca="1" si="11">RANDBETWEEN(65, 75)</f>
        <v>72</v>
      </c>
      <c r="F132">
        <f t="shared" ca="1" si="7"/>
        <v>87</v>
      </c>
    </row>
    <row r="133" spans="1:6" x14ac:dyDescent="0.2">
      <c r="A133">
        <v>81</v>
      </c>
      <c r="B133">
        <f t="shared" si="8"/>
        <v>891</v>
      </c>
      <c r="C133">
        <f t="shared" ca="1" si="9"/>
        <v>1.65</v>
      </c>
      <c r="D133">
        <v>1</v>
      </c>
      <c r="E133">
        <f t="shared" ca="1" si="11"/>
        <v>68</v>
      </c>
      <c r="F133">
        <v>0</v>
      </c>
    </row>
    <row r="134" spans="1:6" x14ac:dyDescent="0.2">
      <c r="A134">
        <v>82</v>
      </c>
      <c r="B134">
        <f t="shared" si="8"/>
        <v>902</v>
      </c>
      <c r="C134">
        <f t="shared" ca="1" si="9"/>
        <v>2</v>
      </c>
      <c r="D134">
        <v>1</v>
      </c>
      <c r="E134">
        <f t="shared" ca="1" si="11"/>
        <v>75</v>
      </c>
      <c r="F134">
        <v>0</v>
      </c>
    </row>
    <row r="135" spans="1:6" x14ac:dyDescent="0.2">
      <c r="A135">
        <v>83</v>
      </c>
      <c r="B135">
        <f t="shared" si="8"/>
        <v>913</v>
      </c>
      <c r="C135">
        <f ca="1">RANDBETWEEN(150, 240)/100</f>
        <v>2.15</v>
      </c>
      <c r="D135">
        <v>1</v>
      </c>
      <c r="E135">
        <f t="shared" ca="1" si="11"/>
        <v>71</v>
      </c>
      <c r="F135">
        <v>0</v>
      </c>
    </row>
    <row r="136" spans="1:6" x14ac:dyDescent="0.2">
      <c r="A136">
        <v>84</v>
      </c>
      <c r="B136">
        <f t="shared" si="8"/>
        <v>924</v>
      </c>
      <c r="C136">
        <f t="shared" ref="C136:C152" ca="1" si="12">RANDBETWEEN(150, 240)/100</f>
        <v>2.38</v>
      </c>
      <c r="D136">
        <v>1</v>
      </c>
      <c r="E136">
        <f t="shared" ca="1" si="11"/>
        <v>66</v>
      </c>
      <c r="F136">
        <v>0</v>
      </c>
    </row>
    <row r="137" spans="1:6" x14ac:dyDescent="0.2">
      <c r="A137">
        <v>85</v>
      </c>
      <c r="B137">
        <f t="shared" si="8"/>
        <v>935</v>
      </c>
      <c r="C137">
        <f t="shared" ca="1" si="12"/>
        <v>2.38</v>
      </c>
      <c r="D137">
        <v>1</v>
      </c>
      <c r="E137">
        <f t="shared" ca="1" si="11"/>
        <v>72</v>
      </c>
      <c r="F137">
        <v>0</v>
      </c>
    </row>
    <row r="138" spans="1:6" x14ac:dyDescent="0.2">
      <c r="A138">
        <v>86</v>
      </c>
      <c r="B138">
        <f t="shared" si="8"/>
        <v>946</v>
      </c>
      <c r="C138">
        <f t="shared" ca="1" si="12"/>
        <v>2.09</v>
      </c>
      <c r="D138">
        <v>1</v>
      </c>
      <c r="E138">
        <f t="shared" ca="1" si="11"/>
        <v>70</v>
      </c>
      <c r="F138">
        <v>0</v>
      </c>
    </row>
    <row r="139" spans="1:6" x14ac:dyDescent="0.2">
      <c r="A139">
        <v>87</v>
      </c>
      <c r="B139">
        <f t="shared" si="8"/>
        <v>957</v>
      </c>
      <c r="C139">
        <f t="shared" ca="1" si="12"/>
        <v>2.14</v>
      </c>
      <c r="D139">
        <v>1</v>
      </c>
      <c r="E139">
        <f t="shared" ca="1" si="11"/>
        <v>73</v>
      </c>
      <c r="F139">
        <v>0</v>
      </c>
    </row>
    <row r="140" spans="1:6" x14ac:dyDescent="0.2">
      <c r="A140">
        <v>88</v>
      </c>
      <c r="B140">
        <f t="shared" si="8"/>
        <v>968</v>
      </c>
      <c r="C140">
        <f t="shared" ca="1" si="12"/>
        <v>1.97</v>
      </c>
      <c r="D140">
        <v>1</v>
      </c>
      <c r="E140">
        <f t="shared" ca="1" si="11"/>
        <v>70</v>
      </c>
      <c r="F140">
        <v>0</v>
      </c>
    </row>
    <row r="141" spans="1:6" x14ac:dyDescent="0.2">
      <c r="A141">
        <v>89</v>
      </c>
      <c r="B141">
        <f t="shared" si="8"/>
        <v>979</v>
      </c>
      <c r="C141">
        <f t="shared" ca="1" si="12"/>
        <v>1.69</v>
      </c>
      <c r="D141">
        <v>1</v>
      </c>
      <c r="E141">
        <f t="shared" ca="1" si="11"/>
        <v>66</v>
      </c>
      <c r="F141">
        <v>0</v>
      </c>
    </row>
    <row r="142" spans="1:6" x14ac:dyDescent="0.2">
      <c r="A142">
        <v>90</v>
      </c>
      <c r="B142">
        <f t="shared" si="8"/>
        <v>990</v>
      </c>
      <c r="C142">
        <f t="shared" ca="1" si="12"/>
        <v>2.2999999999999998</v>
      </c>
      <c r="D142">
        <v>1</v>
      </c>
      <c r="E142">
        <f t="shared" ca="1" si="11"/>
        <v>75</v>
      </c>
      <c r="F142">
        <v>0</v>
      </c>
    </row>
    <row r="143" spans="1:6" x14ac:dyDescent="0.2">
      <c r="A143">
        <v>91</v>
      </c>
      <c r="B143">
        <f t="shared" si="8"/>
        <v>1001</v>
      </c>
      <c r="C143">
        <f t="shared" ca="1" si="12"/>
        <v>2.35</v>
      </c>
      <c r="D143">
        <v>1</v>
      </c>
      <c r="E143">
        <f t="shared" ca="1" si="11"/>
        <v>65</v>
      </c>
      <c r="F143">
        <v>0</v>
      </c>
    </row>
    <row r="144" spans="1:6" x14ac:dyDescent="0.2">
      <c r="A144">
        <v>92</v>
      </c>
      <c r="B144">
        <f t="shared" si="8"/>
        <v>1012</v>
      </c>
      <c r="C144">
        <f t="shared" ca="1" si="12"/>
        <v>2.38</v>
      </c>
      <c r="D144">
        <v>1</v>
      </c>
      <c r="E144">
        <f t="shared" ca="1" si="11"/>
        <v>73</v>
      </c>
      <c r="F144">
        <v>0</v>
      </c>
    </row>
    <row r="145" spans="1:6" x14ac:dyDescent="0.2">
      <c r="A145">
        <v>93</v>
      </c>
      <c r="B145">
        <f t="shared" si="8"/>
        <v>1023</v>
      </c>
      <c r="C145">
        <f t="shared" ca="1" si="12"/>
        <v>1.65</v>
      </c>
      <c r="D145">
        <v>1</v>
      </c>
      <c r="E145">
        <f t="shared" ca="1" si="11"/>
        <v>71</v>
      </c>
      <c r="F145">
        <v>0</v>
      </c>
    </row>
    <row r="146" spans="1:6" x14ac:dyDescent="0.2">
      <c r="A146">
        <v>94</v>
      </c>
      <c r="B146">
        <f t="shared" si="8"/>
        <v>1034</v>
      </c>
      <c r="C146">
        <f t="shared" ca="1" si="12"/>
        <v>1.89</v>
      </c>
      <c r="D146">
        <v>1</v>
      </c>
      <c r="E146">
        <f t="shared" ca="1" si="11"/>
        <v>71</v>
      </c>
      <c r="F146">
        <v>0</v>
      </c>
    </row>
    <row r="147" spans="1:6" x14ac:dyDescent="0.2">
      <c r="A147">
        <v>95</v>
      </c>
      <c r="B147">
        <f t="shared" si="8"/>
        <v>1045</v>
      </c>
      <c r="C147">
        <f t="shared" ca="1" si="12"/>
        <v>1.96</v>
      </c>
      <c r="D147">
        <v>1</v>
      </c>
      <c r="E147">
        <f t="shared" ca="1" si="11"/>
        <v>73</v>
      </c>
      <c r="F147">
        <v>0</v>
      </c>
    </row>
    <row r="148" spans="1:6" x14ac:dyDescent="0.2">
      <c r="A148">
        <v>96</v>
      </c>
      <c r="B148">
        <f t="shared" si="8"/>
        <v>1056</v>
      </c>
      <c r="C148">
        <f t="shared" ca="1" si="12"/>
        <v>1.55</v>
      </c>
      <c r="D148">
        <v>1</v>
      </c>
      <c r="E148">
        <f t="shared" ca="1" si="11"/>
        <v>71</v>
      </c>
      <c r="F148">
        <v>0</v>
      </c>
    </row>
    <row r="149" spans="1:6" x14ac:dyDescent="0.2">
      <c r="A149">
        <v>97</v>
      </c>
      <c r="B149">
        <f t="shared" si="8"/>
        <v>1067</v>
      </c>
      <c r="C149">
        <f t="shared" ca="1" si="12"/>
        <v>1.55</v>
      </c>
      <c r="D149">
        <v>1</v>
      </c>
      <c r="E149">
        <f t="shared" ca="1" si="11"/>
        <v>70</v>
      </c>
      <c r="F149">
        <v>0</v>
      </c>
    </row>
    <row r="150" spans="1:6" x14ac:dyDescent="0.2">
      <c r="A150">
        <v>98</v>
      </c>
      <c r="B150">
        <f t="shared" si="8"/>
        <v>1078</v>
      </c>
      <c r="C150">
        <f t="shared" ca="1" si="12"/>
        <v>1.57</v>
      </c>
      <c r="D150">
        <v>1</v>
      </c>
      <c r="E150">
        <f t="shared" ca="1" si="11"/>
        <v>75</v>
      </c>
      <c r="F150">
        <v>0</v>
      </c>
    </row>
    <row r="151" spans="1:6" x14ac:dyDescent="0.2">
      <c r="A151">
        <v>99</v>
      </c>
      <c r="B151">
        <f t="shared" si="8"/>
        <v>1089</v>
      </c>
      <c r="C151">
        <f t="shared" ca="1" si="12"/>
        <v>1.98</v>
      </c>
      <c r="D151">
        <v>1</v>
      </c>
      <c r="E151">
        <f t="shared" ca="1" si="11"/>
        <v>67</v>
      </c>
      <c r="F151">
        <v>0</v>
      </c>
    </row>
    <row r="152" spans="1:6" x14ac:dyDescent="0.2">
      <c r="A152">
        <v>100</v>
      </c>
      <c r="B152">
        <f t="shared" si="8"/>
        <v>1100</v>
      </c>
      <c r="C152">
        <f t="shared" ca="1" si="12"/>
        <v>1.59</v>
      </c>
      <c r="D152">
        <v>1</v>
      </c>
      <c r="E152">
        <f ca="1">RANDBETWEEN(65, 75)</f>
        <v>68</v>
      </c>
      <c r="F15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09E2-6FF5-4841-AA8D-E199FECE1F62}">
  <dimension ref="C18:K40"/>
  <sheetViews>
    <sheetView workbookViewId="0">
      <selection activeCell="D21" sqref="D21"/>
    </sheetView>
  </sheetViews>
  <sheetFormatPr baseColWidth="10" defaultRowHeight="16" x14ac:dyDescent="0.2"/>
  <sheetData>
    <row r="18" spans="3:11" x14ac:dyDescent="0.2">
      <c r="C18">
        <f ca="1">RANDBETWEEN(145, 241) * 32</f>
        <v>7008</v>
      </c>
      <c r="D18">
        <f t="shared" ref="D18:K21" ca="1" si="0">RANDBETWEEN(145, 241) * 32</f>
        <v>6432</v>
      </c>
      <c r="E18">
        <f t="shared" ca="1" si="0"/>
        <v>7552</v>
      </c>
      <c r="F18">
        <f t="shared" ca="1" si="0"/>
        <v>6560</v>
      </c>
      <c r="G18">
        <f t="shared" ca="1" si="0"/>
        <v>4768</v>
      </c>
      <c r="H18">
        <f t="shared" ca="1" si="0"/>
        <v>6432</v>
      </c>
      <c r="I18">
        <f t="shared" ca="1" si="0"/>
        <v>5344</v>
      </c>
      <c r="J18">
        <f t="shared" ca="1" si="0"/>
        <v>6496</v>
      </c>
      <c r="K18">
        <f t="shared" ca="1" si="0"/>
        <v>4832</v>
      </c>
    </row>
    <row r="19" spans="3:11" x14ac:dyDescent="0.2">
      <c r="C19">
        <f t="shared" ref="C19:C21" ca="1" si="1">RANDBETWEEN(145, 241) * 32</f>
        <v>7360</v>
      </c>
      <c r="D19">
        <f t="shared" ca="1" si="0"/>
        <v>5024</v>
      </c>
      <c r="E19">
        <f t="shared" ca="1" si="0"/>
        <v>5504</v>
      </c>
      <c r="F19">
        <f t="shared" ca="1" si="0"/>
        <v>6048</v>
      </c>
      <c r="G19">
        <f t="shared" ca="1" si="0"/>
        <v>7264</v>
      </c>
      <c r="H19">
        <f t="shared" ca="1" si="0"/>
        <v>6752</v>
      </c>
      <c r="I19">
        <f t="shared" ca="1" si="0"/>
        <v>5504</v>
      </c>
      <c r="J19">
        <f t="shared" ca="1" si="0"/>
        <v>6944</v>
      </c>
      <c r="K19">
        <f t="shared" ca="1" si="0"/>
        <v>7392</v>
      </c>
    </row>
    <row r="20" spans="3:11" x14ac:dyDescent="0.2">
      <c r="C20">
        <f t="shared" ca="1" si="1"/>
        <v>7616</v>
      </c>
      <c r="D20">
        <f t="shared" ca="1" si="0"/>
        <v>5856</v>
      </c>
      <c r="E20">
        <f t="shared" ca="1" si="0"/>
        <v>6112</v>
      </c>
      <c r="F20">
        <f t="shared" ca="1" si="0"/>
        <v>5696</v>
      </c>
      <c r="G20">
        <f t="shared" ca="1" si="0"/>
        <v>7008</v>
      </c>
      <c r="H20">
        <f t="shared" ca="1" si="0"/>
        <v>6880</v>
      </c>
      <c r="I20">
        <f t="shared" ca="1" si="0"/>
        <v>7616</v>
      </c>
      <c r="J20">
        <f t="shared" ca="1" si="0"/>
        <v>7232</v>
      </c>
      <c r="K20">
        <f t="shared" ca="1" si="0"/>
        <v>6016</v>
      </c>
    </row>
    <row r="21" spans="3:11" x14ac:dyDescent="0.2">
      <c r="C21">
        <f t="shared" ca="1" si="1"/>
        <v>5344</v>
      </c>
      <c r="D21">
        <f t="shared" ca="1" si="0"/>
        <v>7104</v>
      </c>
      <c r="E21">
        <f t="shared" ca="1" si="0"/>
        <v>4736</v>
      </c>
      <c r="F21">
        <f t="shared" ca="1" si="0"/>
        <v>6560</v>
      </c>
      <c r="G21">
        <f t="shared" ca="1" si="0"/>
        <v>5696</v>
      </c>
      <c r="H21">
        <f t="shared" ca="1" si="0"/>
        <v>7552</v>
      </c>
      <c r="I21">
        <f t="shared" ca="1" si="0"/>
        <v>6016</v>
      </c>
      <c r="J21">
        <f t="shared" ca="1" si="0"/>
        <v>6144</v>
      </c>
      <c r="K21">
        <f t="shared" ca="1" si="0"/>
        <v>7552</v>
      </c>
    </row>
    <row r="28" spans="3:11" x14ac:dyDescent="0.2">
      <c r="C28">
        <f t="shared" ref="C28:K29" ca="1" si="2">RANDBETWEEN(145, 241) * 32</f>
        <v>5120</v>
      </c>
      <c r="D28">
        <f t="shared" ca="1" si="2"/>
        <v>4672</v>
      </c>
      <c r="E28">
        <f t="shared" ca="1" si="2"/>
        <v>7136</v>
      </c>
      <c r="F28">
        <f t="shared" ca="1" si="2"/>
        <v>4768</v>
      </c>
      <c r="G28">
        <f t="shared" ca="1" si="2"/>
        <v>6176</v>
      </c>
      <c r="H28">
        <f t="shared" ca="1" si="2"/>
        <v>7072</v>
      </c>
      <c r="I28">
        <f t="shared" ca="1" si="2"/>
        <v>5536</v>
      </c>
      <c r="J28">
        <f t="shared" ca="1" si="2"/>
        <v>5184</v>
      </c>
      <c r="K28">
        <f t="shared" ca="1" si="2"/>
        <v>4768</v>
      </c>
    </row>
    <row r="29" spans="3:11" x14ac:dyDescent="0.2">
      <c r="C29">
        <f t="shared" ca="1" si="2"/>
        <v>6464</v>
      </c>
      <c r="D29">
        <f t="shared" ca="1" si="2"/>
        <v>5344</v>
      </c>
      <c r="E29">
        <f t="shared" ca="1" si="2"/>
        <v>4640</v>
      </c>
      <c r="F29">
        <f t="shared" ca="1" si="2"/>
        <v>6208</v>
      </c>
      <c r="G29">
        <f t="shared" ca="1" si="2"/>
        <v>4672</v>
      </c>
      <c r="H29">
        <f t="shared" ca="1" si="2"/>
        <v>7552</v>
      </c>
      <c r="I29">
        <f t="shared" ca="1" si="2"/>
        <v>6848</v>
      </c>
      <c r="J29">
        <f t="shared" ca="1" si="2"/>
        <v>6272</v>
      </c>
      <c r="K29">
        <f t="shared" ca="1" si="2"/>
        <v>6176</v>
      </c>
    </row>
    <row r="35" spans="3:11" x14ac:dyDescent="0.2">
      <c r="C35">
        <f ca="1">RANDBETWEEN(200, 350) * 32</f>
        <v>6528</v>
      </c>
      <c r="D35">
        <f t="shared" ref="D35:K38" ca="1" si="3">RANDBETWEEN(200, 350) * 32</f>
        <v>10368</v>
      </c>
      <c r="E35">
        <f t="shared" ca="1" si="3"/>
        <v>9632</v>
      </c>
      <c r="F35">
        <f t="shared" ca="1" si="3"/>
        <v>6912</v>
      </c>
      <c r="G35">
        <f t="shared" ca="1" si="3"/>
        <v>7776</v>
      </c>
      <c r="H35">
        <f t="shared" ca="1" si="3"/>
        <v>9184</v>
      </c>
      <c r="I35">
        <f t="shared" ca="1" si="3"/>
        <v>7904</v>
      </c>
      <c r="J35">
        <f t="shared" ca="1" si="3"/>
        <v>8928</v>
      </c>
      <c r="K35">
        <f t="shared" ca="1" si="3"/>
        <v>8128</v>
      </c>
    </row>
    <row r="36" spans="3:11" x14ac:dyDescent="0.2">
      <c r="C36">
        <f t="shared" ref="C36:C38" ca="1" si="4">RANDBETWEEN(200, 350) * 32</f>
        <v>7424</v>
      </c>
      <c r="D36">
        <f t="shared" ca="1" si="3"/>
        <v>10048</v>
      </c>
      <c r="E36">
        <f t="shared" ca="1" si="3"/>
        <v>9088</v>
      </c>
      <c r="F36">
        <f t="shared" ca="1" si="3"/>
        <v>8480</v>
      </c>
      <c r="G36">
        <f t="shared" ca="1" si="3"/>
        <v>8544</v>
      </c>
      <c r="H36">
        <f t="shared" ca="1" si="3"/>
        <v>8000</v>
      </c>
      <c r="I36">
        <f t="shared" ca="1" si="3"/>
        <v>6432</v>
      </c>
      <c r="J36">
        <f t="shared" ca="1" si="3"/>
        <v>10176</v>
      </c>
      <c r="K36">
        <f t="shared" ca="1" si="3"/>
        <v>8800</v>
      </c>
    </row>
    <row r="37" spans="3:11" x14ac:dyDescent="0.2">
      <c r="C37">
        <f t="shared" ca="1" si="4"/>
        <v>6912</v>
      </c>
      <c r="D37">
        <f t="shared" ca="1" si="3"/>
        <v>8288</v>
      </c>
      <c r="E37">
        <f t="shared" ca="1" si="3"/>
        <v>9472</v>
      </c>
      <c r="F37">
        <f t="shared" ca="1" si="3"/>
        <v>8768</v>
      </c>
      <c r="G37">
        <f t="shared" ca="1" si="3"/>
        <v>7744</v>
      </c>
      <c r="H37">
        <f t="shared" ca="1" si="3"/>
        <v>6560</v>
      </c>
      <c r="I37">
        <f t="shared" ca="1" si="3"/>
        <v>10528</v>
      </c>
      <c r="J37">
        <f t="shared" ca="1" si="3"/>
        <v>10880</v>
      </c>
      <c r="K37">
        <f t="shared" ca="1" si="3"/>
        <v>8544</v>
      </c>
    </row>
    <row r="38" spans="3:11" x14ac:dyDescent="0.2">
      <c r="C38">
        <f t="shared" ca="1" si="4"/>
        <v>9632</v>
      </c>
      <c r="D38">
        <f t="shared" ca="1" si="3"/>
        <v>7616</v>
      </c>
      <c r="E38">
        <f t="shared" ca="1" si="3"/>
        <v>10464</v>
      </c>
      <c r="F38">
        <f t="shared" ca="1" si="3"/>
        <v>7680</v>
      </c>
      <c r="G38">
        <f t="shared" ca="1" si="3"/>
        <v>6944</v>
      </c>
      <c r="H38">
        <f t="shared" ca="1" si="3"/>
        <v>8064</v>
      </c>
      <c r="I38">
        <f t="shared" ca="1" si="3"/>
        <v>7808</v>
      </c>
      <c r="J38">
        <f t="shared" ca="1" si="3"/>
        <v>9440</v>
      </c>
      <c r="K38">
        <f t="shared" ca="1" si="3"/>
        <v>9568</v>
      </c>
    </row>
    <row r="39" spans="3:11" x14ac:dyDescent="0.2">
      <c r="C39">
        <f t="shared" ref="C39:K40" ca="1" si="5">RANDBETWEEN(145, 241) * 32</f>
        <v>6528</v>
      </c>
      <c r="D39">
        <f t="shared" ca="1" si="5"/>
        <v>5088</v>
      </c>
      <c r="E39">
        <f t="shared" ca="1" si="5"/>
        <v>4896</v>
      </c>
      <c r="F39">
        <f t="shared" ca="1" si="5"/>
        <v>5696</v>
      </c>
      <c r="G39">
        <f t="shared" ca="1" si="5"/>
        <v>6912</v>
      </c>
      <c r="H39">
        <f t="shared" ca="1" si="5"/>
        <v>5760</v>
      </c>
      <c r="I39">
        <f t="shared" ca="1" si="5"/>
        <v>6208</v>
      </c>
      <c r="J39">
        <f t="shared" ca="1" si="5"/>
        <v>7456</v>
      </c>
      <c r="K39">
        <f t="shared" ca="1" si="5"/>
        <v>5472</v>
      </c>
    </row>
    <row r="40" spans="3:11" x14ac:dyDescent="0.2">
      <c r="C40">
        <f t="shared" ca="1" si="5"/>
        <v>7488</v>
      </c>
      <c r="D40">
        <f t="shared" ca="1" si="5"/>
        <v>4640</v>
      </c>
      <c r="E40">
        <f t="shared" ca="1" si="5"/>
        <v>5248</v>
      </c>
      <c r="F40">
        <f t="shared" ca="1" si="5"/>
        <v>7104</v>
      </c>
      <c r="G40">
        <f t="shared" ca="1" si="5"/>
        <v>7328</v>
      </c>
      <c r="H40">
        <f t="shared" ca="1" si="5"/>
        <v>5472</v>
      </c>
      <c r="I40">
        <f t="shared" ca="1" si="5"/>
        <v>7552</v>
      </c>
      <c r="J40">
        <f t="shared" ca="1" si="5"/>
        <v>5024</v>
      </c>
      <c r="K40">
        <f t="shared" ca="1" si="5"/>
        <v>5568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FEA9-3B77-B441-BE08-09F25D80D724}">
  <dimension ref="B13:Q44"/>
  <sheetViews>
    <sheetView topLeftCell="A11" workbookViewId="0">
      <selection activeCell="P31" sqref="P31"/>
    </sheetView>
  </sheetViews>
  <sheetFormatPr baseColWidth="10" defaultRowHeight="16" x14ac:dyDescent="0.2"/>
  <cols>
    <col min="10" max="10" width="4.33203125" customWidth="1"/>
    <col min="11" max="11" width="9.6640625" customWidth="1"/>
    <col min="12" max="17" width="8" customWidth="1"/>
  </cols>
  <sheetData>
    <row r="13" spans="2:6" x14ac:dyDescent="0.2">
      <c r="B13" t="s">
        <v>146</v>
      </c>
      <c r="C13" t="s">
        <v>10</v>
      </c>
      <c r="D13" t="s">
        <v>14</v>
      </c>
      <c r="E13" t="s">
        <v>15</v>
      </c>
      <c r="F13" t="s">
        <v>16</v>
      </c>
    </row>
    <row r="14" spans="2:6" x14ac:dyDescent="0.2">
      <c r="B14">
        <v>1</v>
      </c>
      <c r="C14">
        <v>237</v>
      </c>
      <c r="D14">
        <v>153</v>
      </c>
      <c r="E14">
        <v>456</v>
      </c>
      <c r="F14">
        <v>4203</v>
      </c>
    </row>
    <row r="15" spans="2:6" x14ac:dyDescent="0.2">
      <c r="B15">
        <v>32</v>
      </c>
      <c r="C15">
        <v>7</v>
      </c>
      <c r="D15">
        <v>42</v>
      </c>
      <c r="E15">
        <v>45</v>
      </c>
      <c r="F15">
        <v>490</v>
      </c>
    </row>
    <row r="16" spans="2:6" x14ac:dyDescent="0.2">
      <c r="B16">
        <v>128</v>
      </c>
      <c r="C16">
        <v>5</v>
      </c>
      <c r="D16">
        <v>43</v>
      </c>
      <c r="E16">
        <v>38</v>
      </c>
      <c r="F16">
        <v>280</v>
      </c>
    </row>
    <row r="17" spans="2:17" x14ac:dyDescent="0.2">
      <c r="B17">
        <v>512</v>
      </c>
      <c r="C17">
        <v>3</v>
      </c>
      <c r="D17">
        <v>3</v>
      </c>
      <c r="E17">
        <v>32</v>
      </c>
      <c r="F17">
        <v>269</v>
      </c>
    </row>
    <row r="18" spans="2:17" x14ac:dyDescent="0.2">
      <c r="B18">
        <v>2048</v>
      </c>
      <c r="C18">
        <v>3</v>
      </c>
      <c r="D18">
        <v>3</v>
      </c>
      <c r="E18">
        <v>32</v>
      </c>
      <c r="F18">
        <v>230</v>
      </c>
      <c r="J18" s="41"/>
      <c r="K18" s="42" t="s">
        <v>148</v>
      </c>
      <c r="L18" s="42" t="s">
        <v>10</v>
      </c>
      <c r="M18" s="42" t="s">
        <v>14</v>
      </c>
      <c r="N18" s="42" t="s">
        <v>15</v>
      </c>
      <c r="O18" s="42" t="s">
        <v>16</v>
      </c>
      <c r="P18" s="42" t="s">
        <v>21</v>
      </c>
      <c r="Q18" s="42" t="s">
        <v>37</v>
      </c>
    </row>
    <row r="19" spans="2:17" x14ac:dyDescent="0.2">
      <c r="J19" s="55" t="s">
        <v>60</v>
      </c>
      <c r="K19" s="39">
        <v>1</v>
      </c>
      <c r="L19" s="39">
        <v>59</v>
      </c>
      <c r="M19" s="39">
        <v>68</v>
      </c>
      <c r="N19" s="39">
        <v>114</v>
      </c>
      <c r="O19" s="39">
        <v>1050</v>
      </c>
      <c r="P19" s="39" t="s">
        <v>147</v>
      </c>
      <c r="Q19" s="39" t="s">
        <v>147</v>
      </c>
    </row>
    <row r="20" spans="2:17" x14ac:dyDescent="0.2">
      <c r="J20" s="56"/>
      <c r="K20" s="38">
        <v>32</v>
      </c>
      <c r="L20" s="38">
        <v>7</v>
      </c>
      <c r="M20" s="38">
        <v>27</v>
      </c>
      <c r="N20" s="38">
        <v>11</v>
      </c>
      <c r="O20" s="38">
        <v>122</v>
      </c>
      <c r="P20" s="38" t="s">
        <v>147</v>
      </c>
      <c r="Q20" s="38" t="s">
        <v>147</v>
      </c>
    </row>
    <row r="21" spans="2:17" x14ac:dyDescent="0.2">
      <c r="B21" t="s">
        <v>55</v>
      </c>
      <c r="C21" t="s">
        <v>10</v>
      </c>
      <c r="D21" t="s">
        <v>14</v>
      </c>
      <c r="E21" t="s">
        <v>15</v>
      </c>
      <c r="F21" t="s">
        <v>16</v>
      </c>
      <c r="G21" t="s">
        <v>21</v>
      </c>
      <c r="H21" t="s">
        <v>37</v>
      </c>
      <c r="J21" s="56"/>
      <c r="K21" s="38">
        <v>128</v>
      </c>
      <c r="L21" s="38">
        <v>5</v>
      </c>
      <c r="M21" s="38">
        <v>16</v>
      </c>
      <c r="N21" s="38">
        <v>9</v>
      </c>
      <c r="O21" s="38">
        <v>70</v>
      </c>
      <c r="P21" s="38" t="s">
        <v>147</v>
      </c>
      <c r="Q21" s="38" t="s">
        <v>147</v>
      </c>
    </row>
    <row r="22" spans="2:17" x14ac:dyDescent="0.2">
      <c r="B22">
        <v>1</v>
      </c>
      <c r="C22">
        <v>237</v>
      </c>
      <c r="D22">
        <v>153</v>
      </c>
      <c r="E22">
        <v>256</v>
      </c>
      <c r="F22">
        <v>4203</v>
      </c>
      <c r="G22">
        <v>10270</v>
      </c>
      <c r="H22">
        <v>23110</v>
      </c>
      <c r="J22" s="56"/>
      <c r="K22" s="38">
        <v>512</v>
      </c>
      <c r="L22" s="38">
        <v>3</v>
      </c>
      <c r="M22" s="38">
        <v>3</v>
      </c>
      <c r="N22" s="38">
        <v>9</v>
      </c>
      <c r="O22" s="38">
        <v>67</v>
      </c>
      <c r="P22" s="38" t="s">
        <v>147</v>
      </c>
      <c r="Q22" s="38" t="s">
        <v>147</v>
      </c>
    </row>
    <row r="23" spans="2:17" x14ac:dyDescent="0.2">
      <c r="B23">
        <v>32</v>
      </c>
      <c r="C23">
        <v>7</v>
      </c>
      <c r="D23">
        <v>42</v>
      </c>
      <c r="E23">
        <v>45</v>
      </c>
      <c r="F23">
        <v>490</v>
      </c>
      <c r="G23">
        <v>1059</v>
      </c>
      <c r="H23">
        <v>2081</v>
      </c>
      <c r="J23" s="57"/>
      <c r="K23" s="40">
        <v>2048</v>
      </c>
      <c r="L23" s="40">
        <v>3</v>
      </c>
      <c r="M23" s="40">
        <v>3</v>
      </c>
      <c r="N23" s="40">
        <v>9</v>
      </c>
      <c r="O23" s="40">
        <v>57</v>
      </c>
      <c r="P23" s="40" t="s">
        <v>147</v>
      </c>
      <c r="Q23" s="40" t="s">
        <v>147</v>
      </c>
    </row>
    <row r="24" spans="2:17" x14ac:dyDescent="0.2">
      <c r="B24">
        <v>128</v>
      </c>
      <c r="C24">
        <v>5</v>
      </c>
      <c r="D24">
        <v>43</v>
      </c>
      <c r="E24">
        <v>38</v>
      </c>
      <c r="F24">
        <v>280</v>
      </c>
      <c r="G24">
        <v>832</v>
      </c>
      <c r="H24">
        <v>1633</v>
      </c>
      <c r="J24" s="55" t="s">
        <v>55</v>
      </c>
      <c r="K24" s="39">
        <v>1</v>
      </c>
      <c r="L24" s="39">
        <v>11</v>
      </c>
      <c r="M24" s="39">
        <v>7</v>
      </c>
      <c r="N24" s="39">
        <v>12</v>
      </c>
      <c r="O24" s="39">
        <v>210</v>
      </c>
      <c r="P24" s="39">
        <v>513</v>
      </c>
      <c r="Q24" s="39">
        <v>1155</v>
      </c>
    </row>
    <row r="25" spans="2:17" x14ac:dyDescent="0.2">
      <c r="B25">
        <v>512</v>
      </c>
      <c r="C25">
        <v>3</v>
      </c>
      <c r="D25">
        <v>3</v>
      </c>
      <c r="E25">
        <v>32</v>
      </c>
      <c r="F25">
        <v>269</v>
      </c>
      <c r="G25">
        <v>780</v>
      </c>
      <c r="H25">
        <v>1534</v>
      </c>
      <c r="J25" s="56"/>
      <c r="K25" s="38">
        <v>32</v>
      </c>
      <c r="L25" s="38">
        <v>7</v>
      </c>
      <c r="M25" s="38">
        <v>2</v>
      </c>
      <c r="N25" s="38">
        <v>2</v>
      </c>
      <c r="O25" s="38">
        <v>24</v>
      </c>
      <c r="P25" s="38">
        <v>52</v>
      </c>
      <c r="Q25" s="38">
        <v>104</v>
      </c>
    </row>
    <row r="26" spans="2:17" x14ac:dyDescent="0.2">
      <c r="B26">
        <v>2048</v>
      </c>
      <c r="C26">
        <v>3</v>
      </c>
      <c r="D26">
        <v>3</v>
      </c>
      <c r="E26">
        <v>32</v>
      </c>
      <c r="F26">
        <v>230</v>
      </c>
      <c r="G26">
        <v>780</v>
      </c>
      <c r="H26">
        <v>1551</v>
      </c>
      <c r="J26" s="56"/>
      <c r="K26" s="38">
        <v>128</v>
      </c>
      <c r="L26" s="38">
        <v>5</v>
      </c>
      <c r="M26" s="38">
        <v>2</v>
      </c>
      <c r="N26" s="38">
        <v>2</v>
      </c>
      <c r="O26" s="38">
        <v>14</v>
      </c>
      <c r="P26" s="38">
        <v>41</v>
      </c>
      <c r="Q26" s="38">
        <v>81</v>
      </c>
    </row>
    <row r="27" spans="2:17" x14ac:dyDescent="0.2">
      <c r="J27" s="56"/>
      <c r="K27" s="38">
        <v>512</v>
      </c>
      <c r="L27" s="38">
        <v>3</v>
      </c>
      <c r="M27" s="38">
        <v>2</v>
      </c>
      <c r="N27" s="38">
        <v>2</v>
      </c>
      <c r="O27" s="38">
        <v>13</v>
      </c>
      <c r="P27" s="38">
        <v>39</v>
      </c>
      <c r="Q27" s="38">
        <v>76</v>
      </c>
    </row>
    <row r="28" spans="2:17" x14ac:dyDescent="0.2">
      <c r="J28" s="57"/>
      <c r="K28" s="40">
        <v>2048</v>
      </c>
      <c r="L28" s="40">
        <v>3</v>
      </c>
      <c r="M28" s="40">
        <v>2</v>
      </c>
      <c r="N28" s="40">
        <v>2</v>
      </c>
      <c r="O28" s="40">
        <v>11</v>
      </c>
      <c r="P28" s="40">
        <v>39</v>
      </c>
      <c r="Q28" s="40">
        <v>77</v>
      </c>
    </row>
    <row r="31" spans="2:17" x14ac:dyDescent="0.2">
      <c r="C31" t="s">
        <v>10</v>
      </c>
      <c r="D31" t="s">
        <v>14</v>
      </c>
      <c r="E31" t="s">
        <v>15</v>
      </c>
      <c r="F31" t="s">
        <v>16</v>
      </c>
    </row>
    <row r="32" spans="2:17" x14ac:dyDescent="0.2">
      <c r="B32">
        <v>1</v>
      </c>
      <c r="C32">
        <f>C14/4</f>
        <v>59.25</v>
      </c>
      <c r="D32">
        <f>D14/4</f>
        <v>38.25</v>
      </c>
      <c r="E32">
        <f>E14/4</f>
        <v>114</v>
      </c>
      <c r="F32">
        <f>F14/4</f>
        <v>1050.75</v>
      </c>
    </row>
    <row r="33" spans="2:8" x14ac:dyDescent="0.2">
      <c r="B33">
        <v>32</v>
      </c>
      <c r="C33">
        <v>7</v>
      </c>
      <c r="D33">
        <f t="shared" ref="D33:F34" si="0">D15/4</f>
        <v>10.5</v>
      </c>
      <c r="E33">
        <f t="shared" si="0"/>
        <v>11.25</v>
      </c>
      <c r="F33">
        <f t="shared" si="0"/>
        <v>122.5</v>
      </c>
    </row>
    <row r="34" spans="2:8" x14ac:dyDescent="0.2">
      <c r="B34">
        <v>128</v>
      </c>
      <c r="C34">
        <v>5</v>
      </c>
      <c r="D34">
        <f t="shared" si="0"/>
        <v>10.75</v>
      </c>
      <c r="E34">
        <f t="shared" si="0"/>
        <v>9.5</v>
      </c>
      <c r="F34">
        <f t="shared" si="0"/>
        <v>70</v>
      </c>
    </row>
    <row r="35" spans="2:8" x14ac:dyDescent="0.2">
      <c r="B35">
        <v>512</v>
      </c>
      <c r="C35">
        <v>3</v>
      </c>
      <c r="D35">
        <v>3</v>
      </c>
      <c r="E35">
        <v>32</v>
      </c>
      <c r="F35">
        <f>F17/4</f>
        <v>67.25</v>
      </c>
    </row>
    <row r="36" spans="2:8" x14ac:dyDescent="0.2">
      <c r="B36">
        <v>2048</v>
      </c>
      <c r="C36">
        <v>3</v>
      </c>
      <c r="D36">
        <v>3</v>
      </c>
      <c r="E36">
        <v>32</v>
      </c>
      <c r="F36">
        <f>F18/4</f>
        <v>57.5</v>
      </c>
    </row>
    <row r="39" spans="2:8" x14ac:dyDescent="0.2">
      <c r="C39" t="s">
        <v>10</v>
      </c>
      <c r="D39" t="s">
        <v>14</v>
      </c>
      <c r="E39" t="s">
        <v>15</v>
      </c>
      <c r="F39" t="s">
        <v>16</v>
      </c>
      <c r="G39" t="s">
        <v>21</v>
      </c>
      <c r="H39" t="s">
        <v>37</v>
      </c>
    </row>
    <row r="40" spans="2:8" x14ac:dyDescent="0.2">
      <c r="B40">
        <v>1</v>
      </c>
      <c r="C40">
        <f t="shared" ref="C40:H44" si="1">C22/20</f>
        <v>11.85</v>
      </c>
      <c r="D40">
        <f t="shared" si="1"/>
        <v>7.65</v>
      </c>
      <c r="E40">
        <f t="shared" si="1"/>
        <v>12.8</v>
      </c>
      <c r="F40">
        <f t="shared" si="1"/>
        <v>210.15</v>
      </c>
      <c r="G40">
        <f t="shared" si="1"/>
        <v>513.5</v>
      </c>
      <c r="H40">
        <f t="shared" si="1"/>
        <v>1155.5</v>
      </c>
    </row>
    <row r="41" spans="2:8" x14ac:dyDescent="0.2">
      <c r="B41">
        <v>32</v>
      </c>
      <c r="C41">
        <f t="shared" si="1"/>
        <v>0.35</v>
      </c>
      <c r="D41">
        <f t="shared" si="1"/>
        <v>2.1</v>
      </c>
      <c r="E41">
        <f t="shared" si="1"/>
        <v>2.25</v>
      </c>
      <c r="F41">
        <f t="shared" si="1"/>
        <v>24.5</v>
      </c>
      <c r="G41">
        <f t="shared" si="1"/>
        <v>52.95</v>
      </c>
      <c r="H41">
        <f t="shared" si="1"/>
        <v>104.05</v>
      </c>
    </row>
    <row r="42" spans="2:8" x14ac:dyDescent="0.2">
      <c r="B42">
        <v>128</v>
      </c>
      <c r="C42">
        <f t="shared" si="1"/>
        <v>0.25</v>
      </c>
      <c r="D42">
        <f t="shared" si="1"/>
        <v>2.15</v>
      </c>
      <c r="E42">
        <f t="shared" si="1"/>
        <v>1.9</v>
      </c>
      <c r="F42">
        <f t="shared" si="1"/>
        <v>14</v>
      </c>
      <c r="G42">
        <f t="shared" si="1"/>
        <v>41.6</v>
      </c>
      <c r="H42">
        <f t="shared" si="1"/>
        <v>81.650000000000006</v>
      </c>
    </row>
    <row r="43" spans="2:8" x14ac:dyDescent="0.2">
      <c r="B43">
        <v>512</v>
      </c>
      <c r="C43">
        <f t="shared" si="1"/>
        <v>0.15</v>
      </c>
      <c r="D43">
        <f t="shared" si="1"/>
        <v>0.15</v>
      </c>
      <c r="E43">
        <f t="shared" si="1"/>
        <v>1.6</v>
      </c>
      <c r="F43">
        <f t="shared" si="1"/>
        <v>13.45</v>
      </c>
      <c r="G43">
        <f t="shared" si="1"/>
        <v>39</v>
      </c>
      <c r="H43">
        <f t="shared" si="1"/>
        <v>76.7</v>
      </c>
    </row>
    <row r="44" spans="2:8" x14ac:dyDescent="0.2">
      <c r="B44">
        <v>2048</v>
      </c>
      <c r="C44">
        <f t="shared" si="1"/>
        <v>0.15</v>
      </c>
      <c r="D44">
        <f t="shared" si="1"/>
        <v>0.15</v>
      </c>
      <c r="E44">
        <f t="shared" si="1"/>
        <v>1.6</v>
      </c>
      <c r="F44">
        <f t="shared" si="1"/>
        <v>11.5</v>
      </c>
      <c r="G44">
        <f t="shared" si="1"/>
        <v>39</v>
      </c>
      <c r="H44">
        <f t="shared" si="1"/>
        <v>77.55</v>
      </c>
    </row>
  </sheetData>
  <mergeCells count="2">
    <mergeCell ref="J19:J23"/>
    <mergeCell ref="J24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</vt:lpstr>
      <vt:lpstr>Sheet2</vt:lpstr>
      <vt:lpstr>Sheet8</vt:lpstr>
      <vt:lpstr>Sheet3</vt:lpstr>
      <vt:lpstr>Sheet9</vt:lpstr>
      <vt:lpstr>Sheet4</vt:lpstr>
      <vt:lpstr>Sheet5</vt:lpstr>
      <vt:lpstr>Sheet6</vt:lpstr>
      <vt:lpstr>Sheet7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2025-09-26T22:06:17Z</dcterms:created>
  <dcterms:modified xsi:type="dcterms:W3CDTF">2025-12-16T21:24:25Z</dcterms:modified>
</cp:coreProperties>
</file>